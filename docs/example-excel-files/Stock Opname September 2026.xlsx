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Opname" sheetId="1" r:id="rId4"/>
    <sheet state="visible" name="Salinan dari Stock Opname" sheetId="2" r:id="rId5"/>
    <sheet state="visible" name="Sheet2" sheetId="3" r:id="rId6"/>
    <sheet state="visible" name="Sheet1" sheetId="4" r:id="rId7"/>
  </sheets>
  <definedNames>
    <definedName hidden="1" localSheetId="0" name="_xlnm._FilterDatabase">'Stock Opname'!$J$8:$L$728</definedName>
    <definedName hidden="1" localSheetId="1" name="_xlnm._FilterDatabase">'Salinan dari Stock Opname'!$J$8:$L$728</definedName>
  </definedNames>
  <calcPr/>
  <extLst>
    <ext uri="GoogleSheetsCustomDataVersion2">
      <go:sheetsCustomData xmlns:go="http://customooxmlschemas.google.com/" r:id="rId8" roundtripDataChecksum="qrnToK4yalh1iG0jIjI3JjFiR9y3rl3oo7ImW4VyU9c="/>
    </ext>
  </extLst>
</workbook>
</file>

<file path=xl/sharedStrings.xml><?xml version="1.0" encoding="utf-8"?>
<sst xmlns="http://schemas.openxmlformats.org/spreadsheetml/2006/main" count="1519" uniqueCount="767">
  <si>
    <t xml:space="preserve"> STOCK OPNAME</t>
  </si>
  <si>
    <t>PTDHARMA PUTRA SEJAHTERA ABADI</t>
  </si>
  <si>
    <t>Tanggal  28 Februari 2026</t>
  </si>
  <si>
    <t>Tanggal  26 September 2026</t>
  </si>
  <si>
    <t>Lembaran</t>
  </si>
  <si>
    <t>NO</t>
  </si>
  <si>
    <t>Nama Barang</t>
  </si>
  <si>
    <t>Pintu Dari Bandung</t>
  </si>
  <si>
    <t>Harga Satuan</t>
  </si>
  <si>
    <t>ADM</t>
  </si>
  <si>
    <t>Pintu Kamar</t>
  </si>
  <si>
    <t>Harga</t>
  </si>
  <si>
    <t>Fisik</t>
  </si>
  <si>
    <t>Ukuran</t>
  </si>
  <si>
    <t>Jumlah</t>
  </si>
  <si>
    <t>200x90</t>
  </si>
  <si>
    <t>Satuan</t>
  </si>
  <si>
    <t>195x85</t>
  </si>
  <si>
    <t>Selisih +/- Fisik dengan ADM</t>
  </si>
  <si>
    <t>196x845</t>
  </si>
  <si>
    <t>1945x80</t>
  </si>
  <si>
    <t>Bahan Baku:</t>
  </si>
  <si>
    <t>200x89</t>
  </si>
  <si>
    <t>199x82</t>
  </si>
  <si>
    <t>Fisik&lt;ADM</t>
  </si>
  <si>
    <t>195x82</t>
  </si>
  <si>
    <t>Fisik&gt;ADM</t>
  </si>
  <si>
    <t>200x75</t>
  </si>
  <si>
    <t>200x71</t>
  </si>
  <si>
    <t xml:space="preserve">BB 18 MM tata </t>
  </si>
  <si>
    <t>BB 18mm Tata</t>
  </si>
  <si>
    <t>203x70</t>
  </si>
  <si>
    <t>200x70</t>
  </si>
  <si>
    <t>200x72</t>
  </si>
  <si>
    <t>Pintu Ruang Tamu (Pk 2) 4set 8panel</t>
  </si>
  <si>
    <t>Panel A</t>
  </si>
  <si>
    <t>200x61</t>
  </si>
  <si>
    <t>200x62</t>
  </si>
  <si>
    <t>Panel B</t>
  </si>
  <si>
    <t>195x105</t>
  </si>
  <si>
    <t>199x90</t>
  </si>
  <si>
    <t>Pintu Jalusi Dapur (pk 2) 1 set 2 panel</t>
  </si>
  <si>
    <t>195x67</t>
  </si>
  <si>
    <t>Mp 5 mm</t>
  </si>
  <si>
    <t>Pintu Jalusi Garasi Pendek 1 set 16 panel</t>
  </si>
  <si>
    <t>170x57</t>
  </si>
  <si>
    <t>Pintu Jalusi Garasi Tinggi 1 set 7 panel</t>
  </si>
  <si>
    <t>246x45</t>
  </si>
  <si>
    <t>269x43</t>
  </si>
  <si>
    <t>Mp 9mm</t>
  </si>
  <si>
    <t>2695x43</t>
  </si>
  <si>
    <t>Mp 12 mm</t>
  </si>
  <si>
    <t>Total Panel Pintu</t>
  </si>
  <si>
    <t>Mp 15mm</t>
  </si>
  <si>
    <t>Melaminto 3mm</t>
  </si>
  <si>
    <t>HMR 3 mm</t>
  </si>
  <si>
    <t>HPL  Perfoam C 206  Apple Green</t>
  </si>
  <si>
    <t>HPL TH 039 AA</t>
  </si>
  <si>
    <t>HPL TH 154 AA</t>
  </si>
  <si>
    <t>HPL TH 852 J</t>
  </si>
  <si>
    <t>HPL TH 887 J</t>
  </si>
  <si>
    <t>HPL TH 002 G</t>
  </si>
  <si>
    <t>HPL Perfoam 6665 ( Teel Green )</t>
  </si>
  <si>
    <t>HPL Perfoam 9021</t>
  </si>
  <si>
    <t>HPL Perfoam 9554 ( Sage Green )</t>
  </si>
  <si>
    <t>HPL Perfoam 5356 M Gold Teak</t>
  </si>
  <si>
    <t>HPL AICA 14093</t>
  </si>
  <si>
    <t>HPL TH 022 AA</t>
  </si>
  <si>
    <t>HPL TH 057 DB</t>
  </si>
  <si>
    <t>HPL AICA 14131</t>
  </si>
  <si>
    <t>TH 825 J</t>
  </si>
  <si>
    <t>TH 111 NT</t>
  </si>
  <si>
    <t>Tacosheet TS 0678 L</t>
  </si>
  <si>
    <t>TACOSHEET T 359</t>
  </si>
  <si>
    <t>Taconsheet W 310</t>
  </si>
  <si>
    <t>ECOSHEET 101 A/ ZVP007</t>
  </si>
  <si>
    <t>HPL Perfoam 6636 M Smokey Grey</t>
  </si>
  <si>
    <t>HPL Perfoam MB 8123 GoldBrush</t>
  </si>
  <si>
    <t>Edging X - B 122 ( 2 x 22 mm )</t>
  </si>
  <si>
    <t>Edging X - B 154 ( 2 x 42 mm )</t>
  </si>
  <si>
    <t>Edging X - B/GT 122 ( 2 x 42 mm )</t>
  </si>
  <si>
    <t>Edging X - B 154 ( 2 x 22 mm ) Roll Besar</t>
  </si>
  <si>
    <t>Edging X - B 1218 ( 2 x 22 mm ) Roll Besar</t>
  </si>
  <si>
    <t>Edging X W04 Putih ( 2 x 42 )</t>
  </si>
  <si>
    <t>Edging  X W04 Putih/LOKAL ( 2 x 22 mm )</t>
  </si>
  <si>
    <t>Edging S 002 ( 1 x 22 ) Roll Kecil</t>
  </si>
  <si>
    <t>Edging S 002 ( 1 x 42 mm ) Roll Kecil</t>
  </si>
  <si>
    <t>Edging W 356 ( 2 x 42 mm) Roll Besar</t>
  </si>
  <si>
    <t>Edging W 111 / 5008 ( 2 x 42 mm ) Roll Besar</t>
  </si>
  <si>
    <t>Edging W 1202 ( 2 x 42 mm) Roll Besar</t>
  </si>
  <si>
    <t>Edging W 261  ( 2 x 42  mm ) Roll kecil</t>
  </si>
  <si>
    <t>Edging W 801  ( 2 x 42 mm ) Roll Kecil</t>
  </si>
  <si>
    <t>Edging W 1206 ( 2 x 22 mm ) Roll Besar</t>
  </si>
  <si>
    <t>Edging W 1211( 2 x 22 mm ) Roll Besar</t>
  </si>
  <si>
    <t>Edging W 308 ( 2 x 22 mm ) Roll Besar</t>
  </si>
  <si>
    <t>Edging W 308 ( 1 x 22 mm ) Roll Besar</t>
  </si>
  <si>
    <t>Edging W 801 ( 2 x 22 mm ) Roll Besar</t>
  </si>
  <si>
    <t>Edging W 918 ( 2 x 22 mm ) Roll Besar</t>
  </si>
  <si>
    <t>Edging S 011 ( 2 x 22 mm ) Roll Besar</t>
  </si>
  <si>
    <t>Edging W 119 ( 2 x 22 mm ) Roll Besar</t>
  </si>
  <si>
    <t>Edging W 150 ( 2 x 22 mm ) Roll Besar</t>
  </si>
  <si>
    <t>Edgin W 1202 ( 2 x 22 mm ) Roll Besar</t>
  </si>
  <si>
    <t>Edging W 821 ( 2 x 22 mm )</t>
  </si>
  <si>
    <t>Edging W 356 ( 2 x 22 mm)</t>
  </si>
  <si>
    <t>Edging W 359 ( 2 x 22 mm</t>
  </si>
  <si>
    <t>Edging S 006 ( 2 x 22 mm ) Roll Besar</t>
  </si>
  <si>
    <t>Edging S 004 ( 2 x 22 mm ) Roll Kecil</t>
  </si>
  <si>
    <t>Edging W 359/889 ( 2 x 42 mm)</t>
  </si>
  <si>
    <t>Edging W 154 ( 1 x 22 mm ) Roll Kecil</t>
  </si>
  <si>
    <t>Edgin W 1202 / S 002 ( 1 x 22 mm )</t>
  </si>
  <si>
    <t>Edgin W 308 ( 2 x 22 mm ) Roll Kecil</t>
  </si>
  <si>
    <t>Edging W 868 ( 2 x 42 mm ) Roll Kecil</t>
  </si>
  <si>
    <t>Edgin S 002 ( 2 x 42 ) Roll Kecil</t>
  </si>
  <si>
    <t>Edging W 270 ( 2 x 42 mm )  Roll Kecil</t>
  </si>
  <si>
    <t>Edging W 362 ( 2 x 22 mm ) Roll Kecil</t>
  </si>
  <si>
    <t>Edging s 022 ( 1 x 22 mm)</t>
  </si>
  <si>
    <t>HPL Aica 14060 cs 22</t>
  </si>
  <si>
    <t>HPL TH 18 RE</t>
  </si>
  <si>
    <t>Panel Artistic Loupe Beige</t>
  </si>
  <si>
    <t>Panel Artistic Red Chary</t>
  </si>
  <si>
    <t>Edging 1208 2/22</t>
  </si>
  <si>
    <t>Acr 5/3mm susu</t>
  </si>
  <si>
    <t>HPL TH 374 H</t>
  </si>
  <si>
    <t>HPL TH 026 AA</t>
  </si>
  <si>
    <t>HPL 041 AA</t>
  </si>
  <si>
    <t>HPL 045 AA</t>
  </si>
  <si>
    <t>Edging 889 2/22</t>
  </si>
  <si>
    <t>Edging 825 2/22</t>
  </si>
  <si>
    <t>HPL TH 362 H</t>
  </si>
  <si>
    <t>HPL TH 049 AA</t>
  </si>
  <si>
    <t>Edging W 111 / 5008 ( 2 x 222 mm )</t>
  </si>
  <si>
    <t>HPL 003 AA</t>
  </si>
  <si>
    <t>KAYU SUNGKAI</t>
  </si>
  <si>
    <t>Acr Susu 242x310</t>
  </si>
  <si>
    <t>Edging 007 2/22 Royal blue</t>
  </si>
  <si>
    <t>Edging 007 2/42 Royal blue</t>
  </si>
  <si>
    <t>Edging 013 2/22 grey</t>
  </si>
  <si>
    <t>Edging 026 2/22 Baby Blue</t>
  </si>
  <si>
    <t>Edging 10225 (362) 2/22</t>
  </si>
  <si>
    <t>Edging 821 (1x22) Rol Kecil</t>
  </si>
  <si>
    <t>Edging 3046 2/42</t>
  </si>
  <si>
    <t>HPL Aica 13008 C</t>
  </si>
  <si>
    <t>HMR 18mm</t>
  </si>
  <si>
    <t>HPL P 5807 M</t>
  </si>
  <si>
    <t>Edging 003 2/22</t>
  </si>
  <si>
    <t>Panel Canyon Vein</t>
  </si>
  <si>
    <t>Ambalan Jepit Kaca</t>
  </si>
  <si>
    <t>Batu Gerinda/ wd</t>
  </si>
  <si>
    <t>Baut KD Perabot 25"</t>
  </si>
  <si>
    <t>Besi inley Buat kaca / inlay model T</t>
  </si>
  <si>
    <t>Bracket Pipa ss 1"</t>
  </si>
  <si>
    <t>Buble Wrap</t>
  </si>
  <si>
    <t>Cover LED</t>
  </si>
  <si>
    <t>Dekson Cylinder Dcdl</t>
  </si>
  <si>
    <t>Dekson Cylinder TcDL</t>
  </si>
  <si>
    <t>Dekson DP 003</t>
  </si>
  <si>
    <t>Dekson ESCN (ring kunci)</t>
  </si>
  <si>
    <t>Dekson Ess</t>
  </si>
  <si>
    <t>Dekson Flush Bolt 12"</t>
  </si>
  <si>
    <t>Dekson Flush Bolt 8"</t>
  </si>
  <si>
    <t>Dekson FH 211 Pivot</t>
  </si>
  <si>
    <t>Dekson LHTR 0016</t>
  </si>
  <si>
    <t>Dekson Mortise IL DL</t>
  </si>
  <si>
    <t>Dekson Mortise Sleding</t>
  </si>
  <si>
    <t>Dekson PP 012 (Handel Tanam)</t>
  </si>
  <si>
    <t>Dekson Sp 003 N hdl dks</t>
  </si>
  <si>
    <t>Dekson SR8901 2M (rel sleding)</t>
  </si>
  <si>
    <t>Door seal</t>
  </si>
  <si>
    <t>Dowel</t>
  </si>
  <si>
    <t>Dowlight 7 w</t>
  </si>
  <si>
    <t>Engsel Pivot Jepit</t>
  </si>
  <si>
    <t>Es 1/2 BK hafelle</t>
  </si>
  <si>
    <t>Es 1/2 BK Soft Hafele</t>
  </si>
  <si>
    <t>ESB Hafele</t>
  </si>
  <si>
    <t>ESB soft Hafelle</t>
  </si>
  <si>
    <t>ESL Hafele</t>
  </si>
  <si>
    <t>ESL soft hafelle</t>
  </si>
  <si>
    <t>Fisher gypsum</t>
  </si>
  <si>
    <t>Fisher s6</t>
  </si>
  <si>
    <t>Fisher s8</t>
  </si>
  <si>
    <t>Gantugan (lukisan) capstock</t>
  </si>
  <si>
    <t>Gantungan No 6</t>
  </si>
  <si>
    <t>Handel Tanam Kecil</t>
  </si>
  <si>
    <t>Handel Tz 18-192</t>
  </si>
  <si>
    <t>Isi Cutter</t>
  </si>
  <si>
    <t>Kabel eterna/sUPREME NYM 2X15</t>
  </si>
  <si>
    <t>Kabel hitam NYA</t>
  </si>
  <si>
    <t>Kabel merah NYA</t>
  </si>
  <si>
    <t>Kaet Karet</t>
  </si>
  <si>
    <t>Keramik porto valentino gress</t>
  </si>
  <si>
    <t>Kunci huben HL 138</t>
  </si>
  <si>
    <t>Kunci push lock</t>
  </si>
  <si>
    <t>Kwaci kaca</t>
  </si>
  <si>
    <t>Laci kasir Acrilick</t>
  </si>
  <si>
    <t>Lakban Bening</t>
  </si>
  <si>
    <t>Pensil</t>
  </si>
  <si>
    <t>LED selang COB</t>
  </si>
  <si>
    <t>Lem fox prima d /bANTENG/168</t>
  </si>
  <si>
    <t>Lem fox putih</t>
  </si>
  <si>
    <t>Lem G</t>
  </si>
  <si>
    <t>Lem sealent clear</t>
  </si>
  <si>
    <t>Lem sealent white</t>
  </si>
  <si>
    <t>Lem Supra 5000 Ac</t>
  </si>
  <si>
    <t>Lem unimlet 250</t>
  </si>
  <si>
    <t>Lem unitex ( unistick 209 PW )</t>
  </si>
  <si>
    <t>Lubang angin putih</t>
  </si>
  <si>
    <t>Lubang kabel cream</t>
  </si>
  <si>
    <t>Minifik</t>
  </si>
  <si>
    <t>MurBaut sepeda</t>
  </si>
  <si>
    <t>Paku beton</t>
  </si>
  <si>
    <t>Paku rivet 4m x 11 mm</t>
  </si>
  <si>
    <t>Panasonic Frame Engkel</t>
  </si>
  <si>
    <t>Panasonic Saklar Engkel</t>
  </si>
  <si>
    <t>Panasonic Stop kontak</t>
  </si>
  <si>
    <t>Panel ijo</t>
  </si>
  <si>
    <t>pen iklan</t>
  </si>
  <si>
    <t>Pipa ss 1"</t>
  </si>
  <si>
    <t>PTF 15</t>
  </si>
  <si>
    <t>PTF 20</t>
  </si>
  <si>
    <t>PTF 25</t>
  </si>
  <si>
    <t>PTF 30</t>
  </si>
  <si>
    <t>PTU 1008</t>
  </si>
  <si>
    <t>PTU 1010</t>
  </si>
  <si>
    <t>Rel laci huben 35 cm</t>
  </si>
  <si>
    <t>Rel laci huben 40 cm</t>
  </si>
  <si>
    <t>Rel laci huben 45 cm</t>
  </si>
  <si>
    <t>Rel laci huben fe 30 cm</t>
  </si>
  <si>
    <t>Rel laci huben fe 35 cm</t>
  </si>
  <si>
    <t>Rel laci huben fe 40 cm</t>
  </si>
  <si>
    <t>Rel laci huben fe 450 mm</t>
  </si>
  <si>
    <t>Rel laci huben fe 50 cm</t>
  </si>
  <si>
    <t>Rel sliding credensa u</t>
  </si>
  <si>
    <t>Rel sliding credensa w</t>
  </si>
  <si>
    <t>Ring 5 x 12</t>
  </si>
  <si>
    <t>Ring 6 x 17</t>
  </si>
  <si>
    <t>Roda Karet 3" pantry</t>
  </si>
  <si>
    <t>Roda nylon 2</t>
  </si>
  <si>
    <t>Roda sleding huben sd12</t>
  </si>
  <si>
    <t>Roller Lem/Cat</t>
  </si>
  <si>
    <t>Rotating</t>
  </si>
  <si>
    <t>Sekrup 1 1/2"</t>
  </si>
  <si>
    <t>Sekrup 1"</t>
  </si>
  <si>
    <t>Sekrup 2"</t>
  </si>
  <si>
    <t>Sekrup 3"</t>
  </si>
  <si>
    <t>Sekrup 3/8 "</t>
  </si>
  <si>
    <t>Sekrup 3/4"</t>
  </si>
  <si>
    <t>Sekrup 6x5/8"</t>
  </si>
  <si>
    <t>Sekrup 8x1"</t>
  </si>
  <si>
    <t>Sekrup 8x5/8"</t>
  </si>
  <si>
    <t>Sekrup PAB 6x3/4"</t>
  </si>
  <si>
    <t>Sekrup PAB 6x3/8"</t>
  </si>
  <si>
    <t>Sekrup PAB 8x3/8"</t>
  </si>
  <si>
    <t>Sekrup 1 1/4"</t>
  </si>
  <si>
    <t>sepatu karet bulat</t>
  </si>
  <si>
    <t>sepatu karet bulat Besar</t>
  </si>
  <si>
    <t>sepatu karet kotak</t>
  </si>
  <si>
    <t>Sepatu plastik</t>
  </si>
  <si>
    <t>Single Face</t>
  </si>
  <si>
    <t>Siku L Ranjang Coklat</t>
  </si>
  <si>
    <t>Siku L Ranjang Putih</t>
  </si>
  <si>
    <t>Socket Conector Led</t>
  </si>
  <si>
    <t>Spon ati 2 mm</t>
  </si>
  <si>
    <t>Spong 120</t>
  </si>
  <si>
    <t>Spong 60</t>
  </si>
  <si>
    <t>ss Lubang pantry</t>
  </si>
  <si>
    <t>Sticker Sanblast</t>
  </si>
  <si>
    <t>Tali Rafia</t>
  </si>
  <si>
    <t>USB charger (Putih )</t>
  </si>
  <si>
    <t>Vinir Putih</t>
  </si>
  <si>
    <t>Spon Ati 10mm</t>
  </si>
  <si>
    <t>inlay T gold Mate 075</t>
  </si>
  <si>
    <t>GC 60</t>
  </si>
  <si>
    <t>GRENDEL HAMPTON (door bolt)</t>
  </si>
  <si>
    <t>Plat L (kunci)</t>
  </si>
  <si>
    <t>Sabuk Hitam(baby tafle)</t>
  </si>
  <si>
    <t>Lem Tecomelt (lem Edging Xinfa)</t>
  </si>
  <si>
    <t>Neon Flex(Led filamen 5m)</t>
  </si>
  <si>
    <t>Kabel buntung+saklar</t>
  </si>
  <si>
    <t>Travo 5A(Sonlite)</t>
  </si>
  <si>
    <t>Dekson Cylinder BK DL</t>
  </si>
  <si>
    <t>3m 1cm</t>
  </si>
  <si>
    <t>3m 2cm</t>
  </si>
  <si>
    <t>felcrow</t>
  </si>
  <si>
    <t>Engsel Frame Alumunium Lurus(EFA-0)</t>
  </si>
  <si>
    <t>Lubang Kabel Kotak</t>
  </si>
  <si>
    <t>Saklar Wadrobe Black</t>
  </si>
  <si>
    <t>Rel Laci Huben Soft 45-50(Huben Sm BM)</t>
  </si>
  <si>
    <t>Stopkontak Panasonic Inbow double kotak</t>
  </si>
  <si>
    <t>Hairline 08</t>
  </si>
  <si>
    <t>Hirline 12</t>
  </si>
  <si>
    <t>lubang Angin Persegi</t>
  </si>
  <si>
    <t>Playmate (Matras anak)</t>
  </si>
  <si>
    <t>Stop kontak double outbow</t>
  </si>
  <si>
    <t>Unilock UB 07 910 (Doorseal isolasi)</t>
  </si>
  <si>
    <t>Unilock UB 07 810 (Doorseal isolasi)</t>
  </si>
  <si>
    <t>Unilock UB 07 710 (Doorseal isolasi)</t>
  </si>
  <si>
    <t>Unilock UB 07 300 (Doorseal isolasi)</t>
  </si>
  <si>
    <t>Unilock UAD010T 220</t>
  </si>
  <si>
    <t>WPC Panel Amber Sand ex Roshan</t>
  </si>
  <si>
    <t>Concealed Hinge Dks ADJ ES CONC 01 D80 NA</t>
  </si>
  <si>
    <t>Door Closer Dekkson DCL 300</t>
  </si>
  <si>
    <t>Tip On Huben (Push Open)</t>
  </si>
  <si>
    <t>Bholamp inlite 7watt WM</t>
  </si>
  <si>
    <t>Bholamp inlite 7watt White</t>
  </si>
  <si>
    <t>STOP kontak WEJP 1131-7</t>
  </si>
  <si>
    <t>Doorseal Raven</t>
  </si>
  <si>
    <t>Planter Box</t>
  </si>
  <si>
    <t>Spong 320</t>
  </si>
  <si>
    <t>Spong 600</t>
  </si>
  <si>
    <t>USB Charger Besar</t>
  </si>
  <si>
    <t>Lem Sealent Sosis White</t>
  </si>
  <si>
    <t>Doorseal Karet Pk 2 IGD</t>
  </si>
  <si>
    <t>Terminal Block</t>
  </si>
  <si>
    <t>Lem Sealent Sosis Clear</t>
  </si>
  <si>
    <t>Capit Udang</t>
  </si>
  <si>
    <t>White Glue Import</t>
  </si>
  <si>
    <t>Sarung tangan katu</t>
  </si>
  <si>
    <t>Panasonic Frame Besar</t>
  </si>
  <si>
    <t>Downlight Philips 14 watt</t>
  </si>
  <si>
    <t>Kaki Karet hitam 3/4</t>
  </si>
  <si>
    <t>Kaki Sofa Adjuster 30mm</t>
  </si>
  <si>
    <t>Kabel NYAF 075 Biru &amp; Merah</t>
  </si>
  <si>
    <t>A plus</t>
  </si>
  <si>
    <t>Amplas Kain A 100</t>
  </si>
  <si>
    <t>Amplas Kain A 120</t>
  </si>
  <si>
    <t>Amplas Kain A 150</t>
  </si>
  <si>
    <t>Amplas Kain A 220</t>
  </si>
  <si>
    <t>Amplas Kain A 400</t>
  </si>
  <si>
    <t>Amplas Kain A 80</t>
  </si>
  <si>
    <t>Cat Oplos 022 Grey</t>
  </si>
  <si>
    <t>Cat Oplos 14093</t>
  </si>
  <si>
    <t>Cat Oplos 14131</t>
  </si>
  <si>
    <t>Cat oplos NCA 154 ( 9657 )</t>
  </si>
  <si>
    <t>Cat Oplos NCA 852 J</t>
  </si>
  <si>
    <t>Cat Oplos NCA 9554 Sage Green</t>
  </si>
  <si>
    <t>Cat Oplos NCA Apple Green C 206</t>
  </si>
  <si>
    <t>Cat Oplos NCA Gold Teak 5356</t>
  </si>
  <si>
    <t>Cat Oplos NCB Carcoal</t>
  </si>
  <si>
    <t>Cat Putih/Top Colour 001 Dana Paint</t>
  </si>
  <si>
    <t>Clear PU doff Panzer</t>
  </si>
  <si>
    <t>Clear Whater Base</t>
  </si>
  <si>
    <t>Dempul Plastik ( alfa Gloss )</t>
  </si>
  <si>
    <t>Epoxy alfa gloss white</t>
  </si>
  <si>
    <t>Kain Ball</t>
  </si>
  <si>
    <t>Lakban (Kertas)</t>
  </si>
  <si>
    <t>Minyak Tanah</t>
  </si>
  <si>
    <t>Nippe 1019 Kijang White(oplos 887 J)</t>
  </si>
  <si>
    <t>Cat Oplos 8601 Grey</t>
  </si>
  <si>
    <t>Oplos Teal Green</t>
  </si>
  <si>
    <t>SANDING sealer whater base</t>
  </si>
  <si>
    <t>Thiner A</t>
  </si>
  <si>
    <t>Thiner PU</t>
  </si>
  <si>
    <t>Thiner Super</t>
  </si>
  <si>
    <t>Amplas Kertas A 120</t>
  </si>
  <si>
    <t>Amplas kertas A 220</t>
  </si>
  <si>
    <t>Amplas Kertas A 400</t>
  </si>
  <si>
    <t>Arttec 015 G Primer Grey</t>
  </si>
  <si>
    <t>Arttec Flat Block</t>
  </si>
  <si>
    <t>Cat Oplos 8809</t>
  </si>
  <si>
    <t>Cat Oplos NCA 5572</t>
  </si>
  <si>
    <t>Cat Oplos 9021</t>
  </si>
  <si>
    <t>Cat Oplos 111 NCA Golden Beech 3</t>
  </si>
  <si>
    <t>Cat Oplos NCA 5356 ( Lama )</t>
  </si>
  <si>
    <t>Oplos NCB 057</t>
  </si>
  <si>
    <t>Cat Oplos Miscelina Green</t>
  </si>
  <si>
    <t>Cat Oplos NCA Sky Blue Semi doff</t>
  </si>
  <si>
    <t>Cat Oplos NCA TH 003 ( Blck Doff )</t>
  </si>
  <si>
    <t>Cat Sky Blue ( Top Colour )</t>
  </si>
  <si>
    <t>Top Color artictic White</t>
  </si>
  <si>
    <t>Cat Tembok Cristal (95)</t>
  </si>
  <si>
    <t>Dana Gloss NC Clear</t>
  </si>
  <si>
    <t>DecoFresh</t>
  </si>
  <si>
    <t>Decofresh Premium</t>
  </si>
  <si>
    <t>Enviluk alkay gloss Enamel</t>
  </si>
  <si>
    <t>Auto glow PR207</t>
  </si>
  <si>
    <t>Impra WS-162 B Salak Brown</t>
  </si>
  <si>
    <t>Impra WS-162 B Shp brown/LIGHT BROWN</t>
  </si>
  <si>
    <t>Meni Besi</t>
  </si>
  <si>
    <t>Artex 00156 G Prime Grey</t>
  </si>
  <si>
    <t>Mowilex W-1501 White</t>
  </si>
  <si>
    <t>Mowilex Sky Blue</t>
  </si>
  <si>
    <t>Cat Oplos Coklat</t>
  </si>
  <si>
    <t>NCB Genesis Oak</t>
  </si>
  <si>
    <t>NCB Jamal Brown 1205</t>
  </si>
  <si>
    <t>Nipe 2000 - 121 white phoenix</t>
  </si>
  <si>
    <t>Nipe 2000 - 473</t>
  </si>
  <si>
    <t>Nipe 2000 -  306 T</t>
  </si>
  <si>
    <t>Nipe 2000 - 222 Clear</t>
  </si>
  <si>
    <t>Nipe 2000 - 444 Dakar yellow</t>
  </si>
  <si>
    <t>Nipe 2000 - 441  Nosegay Pink</t>
  </si>
  <si>
    <t>Nipe 2000 - 444 T</t>
  </si>
  <si>
    <t>Nipe 2000 - 501 signal Red</t>
  </si>
  <si>
    <t>Nipe 2000 - NP 1013</t>
  </si>
  <si>
    <t>Nipe 2000 - NP 1011</t>
  </si>
  <si>
    <t>Oplos 045 Orange</t>
  </si>
  <si>
    <t>Nipe 454 Red Chilli</t>
  </si>
  <si>
    <t>Panzer umB Creamy white</t>
  </si>
  <si>
    <t>Epoxy Adhesive hardener</t>
  </si>
  <si>
    <t>Epoxy Adhesive Resin</t>
  </si>
  <si>
    <t>Oplos Pink Almond</t>
  </si>
  <si>
    <t>Pinskan</t>
  </si>
  <si>
    <t>San Polac</t>
  </si>
  <si>
    <t>Top Color chrome yellow</t>
  </si>
  <si>
    <t>Top Color  Chome Orange</t>
  </si>
  <si>
    <t>Top Color Cicilia Olive</t>
  </si>
  <si>
    <t>Top Color  MD 2</t>
  </si>
  <si>
    <t>Top Color Tosca green 1317</t>
  </si>
  <si>
    <t>Danagloss Nc White</t>
  </si>
  <si>
    <t>Top Color Tweety Yellow</t>
  </si>
  <si>
    <t>Ultran Politure P-03 UV</t>
  </si>
  <si>
    <t>Paragon Eml  357 Red</t>
  </si>
  <si>
    <t>Water Replant</t>
  </si>
  <si>
    <t>WF 113 Sungkai</t>
  </si>
  <si>
    <t>WF 114 White</t>
  </si>
  <si>
    <t>Impra WF Brown KJ 114</t>
  </si>
  <si>
    <t>Impra WF NC 141 Clear semi gloss</t>
  </si>
  <si>
    <t>Impra WF Jati 115</t>
  </si>
  <si>
    <t>Impra Wp 117 white</t>
  </si>
  <si>
    <t>Sanding Sealer S 401 Z</t>
  </si>
  <si>
    <t>Wood Filer Teak</t>
  </si>
  <si>
    <t>Cat Oplos NCA SPTA HPL 8537</t>
  </si>
  <si>
    <t>Impra ss 121</t>
  </si>
  <si>
    <t>Dulux Gloss Borwn Leath</t>
  </si>
  <si>
    <t>Impra Nc 141 Semi Gloss</t>
  </si>
  <si>
    <t>Amplas Ekaman 12" 80</t>
  </si>
  <si>
    <t>Amplas Ekaman  12" 400</t>
  </si>
  <si>
    <t>Premium High Gloss Enamel</t>
  </si>
  <si>
    <t>Cat Oplos Soft gold</t>
  </si>
  <si>
    <t>Cat Oplos NCB orange semi dof</t>
  </si>
  <si>
    <t>Mowilex Ws 503</t>
  </si>
  <si>
    <t>Petalac Clear gloss</t>
  </si>
  <si>
    <t>Cat Oplos NCB 150</t>
  </si>
  <si>
    <t>Cat Oplos Jamal 321 Coklat</t>
  </si>
  <si>
    <t>TrueCAre Resisting Premium</t>
  </si>
  <si>
    <t>oplos Metal Brown</t>
  </si>
  <si>
    <t>FANCY Cream</t>
  </si>
  <si>
    <t>Cat Oplos 005 Yellow</t>
  </si>
  <si>
    <t>Cat Oplos 014 Grey</t>
  </si>
  <si>
    <t>Cat Oplos 026 Blue</t>
  </si>
  <si>
    <t>Lampu dinding ( tempatnya )</t>
  </si>
  <si>
    <t>Lampu Gantung</t>
  </si>
  <si>
    <t>kursi hearing</t>
  </si>
  <si>
    <t>Kursi x mesh</t>
  </si>
  <si>
    <t>Kursi y lama</t>
  </si>
  <si>
    <t>kursi y mesh baru</t>
  </si>
  <si>
    <t>Kusen alumunium</t>
  </si>
  <si>
    <t>Springbed extra bed merk American</t>
  </si>
  <si>
    <t>Springbed extra bed merk Florence</t>
  </si>
  <si>
    <t>Table Lamp</t>
  </si>
  <si>
    <t>Laker 60x60x3</t>
  </si>
  <si>
    <t>Lampu Spot Foto</t>
  </si>
  <si>
    <t>Kursi bar</t>
  </si>
  <si>
    <t>Lampu Fo(r 100 80 60)</t>
  </si>
  <si>
    <t>Frame Soft Gold</t>
  </si>
  <si>
    <t>Solid Surface Meja Tamu</t>
  </si>
  <si>
    <t>Laker Coffe Table Bulat</t>
  </si>
  <si>
    <t>Laker Toffe tableKotak</t>
  </si>
  <si>
    <t>Top Table D 120</t>
  </si>
  <si>
    <t>Top Table D 70</t>
  </si>
  <si>
    <t>Top Table D 50</t>
  </si>
  <si>
    <t>Lampu Lobby D 100</t>
  </si>
  <si>
    <t>Lampu Lobby D 80</t>
  </si>
  <si>
    <t>Lampu lobby D 60</t>
  </si>
  <si>
    <t>Lampu Lobby D 40</t>
  </si>
  <si>
    <t>Handel Tanam china</t>
  </si>
  <si>
    <t>Lubang Kabel Grey China</t>
  </si>
  <si>
    <t>rotating China</t>
  </si>
  <si>
    <t>Rel Laci Fe 35 China</t>
  </si>
  <si>
    <t>Rel Laci 35 China</t>
  </si>
  <si>
    <t>Ambalan Jepit kaca China</t>
  </si>
  <si>
    <t>ESB Soft China</t>
  </si>
  <si>
    <t>Es 1/2 Bk Soft China</t>
  </si>
  <si>
    <t>ESL Soft China</t>
  </si>
  <si>
    <t>Pen iklan 16x25</t>
  </si>
  <si>
    <t>Kunci China</t>
  </si>
  <si>
    <t>Lubang Angin Putih China</t>
  </si>
  <si>
    <t>Rel Laci fe 40 China</t>
  </si>
  <si>
    <t>BB 36 mm</t>
  </si>
  <si>
    <t>MP 9 mm UTY</t>
  </si>
  <si>
    <t>Mp 15 Lama</t>
  </si>
  <si>
    <t>Mp 12mm Lama</t>
  </si>
  <si>
    <t>MDF 25 mm</t>
  </si>
  <si>
    <t>HMR 12 mm</t>
  </si>
  <si>
    <t>GRC 9 mm</t>
  </si>
  <si>
    <t>Millaminto 12mm Putih</t>
  </si>
  <si>
    <t>BB 18mm Pulung</t>
  </si>
  <si>
    <t>Millaminto 3mm Cream</t>
  </si>
  <si>
    <t>HPL Perfoam  0928 M</t>
  </si>
  <si>
    <t>Taconsheet Dy W 313</t>
  </si>
  <si>
    <t>Taconsheet W 301</t>
  </si>
  <si>
    <t>HPL Perfoam 5805 M ( Amerisan ash )</t>
  </si>
  <si>
    <t>HPL Green Lam   5003 suede</t>
  </si>
  <si>
    <t>HPL TH 005AA</t>
  </si>
  <si>
    <t>HPL Perfoam 8647 M ( Viona Walnut )</t>
  </si>
  <si>
    <t>HPL F PP 8861 SD</t>
  </si>
  <si>
    <t>HPL AK 14061</t>
  </si>
  <si>
    <t>HPL TH 5011 NT</t>
  </si>
  <si>
    <t>HPL TH Eco SLD 011 M</t>
  </si>
  <si>
    <t>HPL TH 861 J</t>
  </si>
  <si>
    <t>HPL  8809 Wilsonart</t>
  </si>
  <si>
    <t>HPL Perfoam 5351 M</t>
  </si>
  <si>
    <t>HPL Formica PP 6053 NT</t>
  </si>
  <si>
    <t>HPL TH 007 G</t>
  </si>
  <si>
    <t>HPL TH 011 G</t>
  </si>
  <si>
    <t>HPL AF 534-G</t>
  </si>
  <si>
    <t>HPL TH 031 AA</t>
  </si>
  <si>
    <t>HPL TH 026 G</t>
  </si>
  <si>
    <t>HPL TH 004 G</t>
  </si>
  <si>
    <t>HPL TH 014 D</t>
  </si>
  <si>
    <t>HPL Perfoam SM 9200 G (  Brilian White  )</t>
  </si>
  <si>
    <t>HPL Carta CT 8570 NT</t>
  </si>
  <si>
    <t>HPL TH 025 AA</t>
  </si>
  <si>
    <t>HPL TH 918 J</t>
  </si>
  <si>
    <t>HPL Perfoam 9207 G</t>
  </si>
  <si>
    <t>TH 261 B</t>
  </si>
  <si>
    <t>HPL Greenlam 292 suede Tosca</t>
  </si>
  <si>
    <t>HPL Perfoam 9221 M</t>
  </si>
  <si>
    <t>HPL TH 835 J</t>
  </si>
  <si>
    <t>HPL TH 887 JG</t>
  </si>
  <si>
    <t>HPL Perfoam 6637 M ( Charcoal Grey )</t>
  </si>
  <si>
    <t>HPL Perfoam 9657 M ( Genesis Oak )</t>
  </si>
  <si>
    <t>HPL Perfoam 9858 M ( fruitfull oak grey )</t>
  </si>
  <si>
    <t>HPL Perfoam 9212 M(ice pink)</t>
  </si>
  <si>
    <t>HPL Perfoam 8769 M</t>
  </si>
  <si>
    <t>HPL TH 017 AA</t>
  </si>
  <si>
    <t>HPL TH 1225 FC</t>
  </si>
  <si>
    <t>HPL Perfoam PP 9205 UN</t>
  </si>
  <si>
    <t>HPL Perfoam 9201 M</t>
  </si>
  <si>
    <t>HPLth 003 KM</t>
  </si>
  <si>
    <t>HPL TH 1250 FA</t>
  </si>
  <si>
    <t>HPL Perfoam 9047 MA</t>
  </si>
  <si>
    <t>HPL Greenlam GWC 5007</t>
  </si>
  <si>
    <t>HPL Formica PP 7949 SP</t>
  </si>
  <si>
    <t>HPL Perfoam TD 5850 NC</t>
  </si>
  <si>
    <t>HPL CT 5650 T</t>
  </si>
  <si>
    <t>HPL TH 004 AA</t>
  </si>
  <si>
    <t>HPL Perfoam 6654 G</t>
  </si>
  <si>
    <t>HPL TH 011 M Spring Green</t>
  </si>
  <si>
    <t>HPL TH 103 AA</t>
  </si>
  <si>
    <t>HPL Carta CT 0516</t>
  </si>
  <si>
    <t>HPL Perfoam 6650 M ( PICH CREAM )</t>
  </si>
  <si>
    <t>HPL Perfoam 5362 M</t>
  </si>
  <si>
    <t>HPL TH 150 AA</t>
  </si>
  <si>
    <t>HPL 9045 M ( Lrgno Fine Line )</t>
  </si>
  <si>
    <t>HPL TH 1205 FC</t>
  </si>
  <si>
    <t>HPL  9201 HG</t>
  </si>
  <si>
    <t>HPL TH 192 DP</t>
  </si>
  <si>
    <t>HPL TH  005 G</t>
  </si>
  <si>
    <t>HPL TH  030 AA</t>
  </si>
  <si>
    <t>HPL 037 AA</t>
  </si>
  <si>
    <t>HPL TH 042 AA</t>
  </si>
  <si>
    <t>HPL Formica PP 9001  NT</t>
  </si>
  <si>
    <t>HPL F 7858</t>
  </si>
  <si>
    <t>HPL TH 109 AA</t>
  </si>
  <si>
    <t>HPL TH 824 J</t>
  </si>
  <si>
    <t>HPL Perfoam PP 1336 UN</t>
  </si>
  <si>
    <t>HPL TH 1202 FC</t>
  </si>
  <si>
    <t>HPL Carta CT 6400 DM</t>
  </si>
  <si>
    <t>HPL TH 1206</t>
  </si>
  <si>
    <t>HPL AICA JI 256 C</t>
  </si>
  <si>
    <t>HPL TH 900 J</t>
  </si>
  <si>
    <t>HPL Perfoam 8615 M</t>
  </si>
  <si>
    <t>HPL Perfoam 6625 M</t>
  </si>
  <si>
    <t>HPL 6689 M</t>
  </si>
  <si>
    <t>HPL Green Lamd GWC 682</t>
  </si>
  <si>
    <t>S 0108 S ( Violam )</t>
  </si>
  <si>
    <t>HPL TH 217 AA</t>
  </si>
  <si>
    <t>HPL TH359 AA</t>
  </si>
  <si>
    <t>HPL Carta CT 5572 T</t>
  </si>
  <si>
    <t>Natural 213</t>
  </si>
  <si>
    <t>HPL TH 888 J</t>
  </si>
  <si>
    <t>HPL TH 1215 FC</t>
  </si>
  <si>
    <t>HPL Perfoam 6625 G</t>
  </si>
  <si>
    <t>vinir sungkai mega</t>
  </si>
  <si>
    <t>Solid 3mm</t>
  </si>
  <si>
    <t>HPL 014 G grey</t>
  </si>
  <si>
    <t>HPL 048</t>
  </si>
  <si>
    <t>HPL 501 E</t>
  </si>
  <si>
    <t>HPL AK 14130 C</t>
  </si>
  <si>
    <t>HPL VIOLAM LAMINATO 50108 S</t>
  </si>
  <si>
    <t>HPL AP 6445</t>
  </si>
  <si>
    <t>HPL TH 1256</t>
  </si>
  <si>
    <t>Ambalan Gantung Siku L</t>
  </si>
  <si>
    <t>Penjepit Kaca Albion</t>
  </si>
  <si>
    <t>Acr ijo 5mm</t>
  </si>
  <si>
    <t>Ambalan Rak 27 cm</t>
  </si>
  <si>
    <t>Ambalan Rak 30cm</t>
  </si>
  <si>
    <t>Ambalan Rak 32cm</t>
  </si>
  <si>
    <t>Ambalan Rak Twin</t>
  </si>
  <si>
    <t>Ambalan Sukun</t>
  </si>
  <si>
    <t>Besi AMbalan 12Cm</t>
  </si>
  <si>
    <t>Bracket Kaki Sofa</t>
  </si>
  <si>
    <t>bracketPipa Oval</t>
  </si>
  <si>
    <t>Engsel Kaca</t>
  </si>
  <si>
    <t>Engsel bungkuk drola</t>
  </si>
  <si>
    <t>Engsel kupu</t>
  </si>
  <si>
    <t>Engsel kupu 2 "twin</t>
  </si>
  <si>
    <t>Engsel lipat tanam</t>
  </si>
  <si>
    <t>Engsel lkupu Gesihigao</t>
  </si>
  <si>
    <t>Engsel 1/2 Bungkuk Huben</t>
  </si>
  <si>
    <t>EsL Kaca</t>
  </si>
  <si>
    <t>Engsel wayang</t>
  </si>
  <si>
    <t>ESCN belleza</t>
  </si>
  <si>
    <t>ESB Dekson</t>
  </si>
  <si>
    <t>flush Bolt Beloca 6"</t>
  </si>
  <si>
    <t>flush Bolt Beloca 12"</t>
  </si>
  <si>
    <t>grendel ss 7cm</t>
  </si>
  <si>
    <t>Grendel Besi 6"</t>
  </si>
  <si>
    <t>Grendel Erdos 4"</t>
  </si>
  <si>
    <t>Grendel Hk 2"</t>
  </si>
  <si>
    <t>Grendel Holy 15cm</t>
  </si>
  <si>
    <t>Hair dryer</t>
  </si>
  <si>
    <t>Hak jendela maven</t>
  </si>
  <si>
    <t>Hak Ranjang Besi</t>
  </si>
  <si>
    <t>Hak Ranjang Drolla</t>
  </si>
  <si>
    <t>Handel Bulat</t>
  </si>
  <si>
    <t>Handel Antik</t>
  </si>
  <si>
    <t>Handel huben 310/304</t>
  </si>
  <si>
    <t>Handel huben TA 20 - 288</t>
  </si>
  <si>
    <t>Handel laci tarik</t>
  </si>
  <si>
    <t>Handel Pentol Emas</t>
  </si>
  <si>
    <t>Handel Pentol Jamur</t>
  </si>
  <si>
    <t>Handel Pentol Kayu</t>
  </si>
  <si>
    <t>Handel Pentol Kuning</t>
  </si>
  <si>
    <t>Handel pentol pipih</t>
  </si>
  <si>
    <t>Handel pentol silver</t>
  </si>
  <si>
    <t>Hnadel tanam Alumunium Hyben 13cm</t>
  </si>
  <si>
    <t>Handel Tanam Alumunium Huben 23cm</t>
  </si>
  <si>
    <t>Handel tanam huben TPA 39 - 64</t>
  </si>
  <si>
    <t>Handel tanam Hitam 8cm stock lama</t>
  </si>
  <si>
    <t>Handel Tarik Huben 14cm</t>
  </si>
  <si>
    <t>Handel Tarik Huben 19cm</t>
  </si>
  <si>
    <t>Handel tarik Huben 20cm</t>
  </si>
  <si>
    <t>Handel Tarik Nature 20cm</t>
  </si>
  <si>
    <t>Handel tarik Tl 138 besar</t>
  </si>
  <si>
    <t>Handel tarik Tl 318 10 cm</t>
  </si>
  <si>
    <t>Handel Tp5 - 10 huben 188-128</t>
  </si>
  <si>
    <t>Handel Tz 24</t>
  </si>
  <si>
    <t>Huben hidrolis pintu</t>
  </si>
  <si>
    <t>Jcbc hitam</t>
  </si>
  <si>
    <t>Kaki meja ikea</t>
  </si>
  <si>
    <t>kaki sofa 10 cm</t>
  </si>
  <si>
    <t>kaki sofa 8 cm</t>
  </si>
  <si>
    <t>Kaki sofa kayu 25 cm</t>
  </si>
  <si>
    <t>Kaki stabilizer</t>
  </si>
  <si>
    <t>Keni kran siku</t>
  </si>
  <si>
    <t>Komponen lampu lobby (Rijeck)8 pcs</t>
  </si>
  <si>
    <t>Kunci hafele lemari (platinum)</t>
  </si>
  <si>
    <t>Kunci kaca doubel baleno</t>
  </si>
  <si>
    <t>Kunci L</t>
  </si>
  <si>
    <t>Kursi Ikea putih</t>
  </si>
  <si>
    <t>Kursi ikea ijo</t>
  </si>
  <si>
    <t>Kursi kayu</t>
  </si>
  <si>
    <t>Lampu LED Selang LAma</t>
  </si>
  <si>
    <t>Lampu LED strip lama</t>
  </si>
  <si>
    <t>Lampu LED strip</t>
  </si>
  <si>
    <t>Lampu neon</t>
  </si>
  <si>
    <t>Lubang angin hitam</t>
  </si>
  <si>
    <t>Lubang angin logam kecil 5 cm</t>
  </si>
  <si>
    <t>Lubang kabel putih</t>
  </si>
  <si>
    <t>Lubnag angin logam besar 7 cm</t>
  </si>
  <si>
    <t>Magnet pintu (Door stop)</t>
  </si>
  <si>
    <t>Mts Rldl8485</t>
  </si>
  <si>
    <t>Peniklan besar</t>
  </si>
  <si>
    <t>Pentokan magnet coklat</t>
  </si>
  <si>
    <t>pentokan magnet putih</t>
  </si>
  <si>
    <t>Pipa kecil alumunium</t>
  </si>
  <si>
    <t>Pipa oval 40 cm</t>
  </si>
  <si>
    <t>Plat L Siku ss</t>
  </si>
  <si>
    <t>Rel laci fe hafelle 350 mm</t>
  </si>
  <si>
    <t>Rel laci fe hafelle 400 mm</t>
  </si>
  <si>
    <t>Rel laci fe hafelle 450 mm</t>
  </si>
  <si>
    <t>Rel laci fe hafelle 500 mm</t>
  </si>
  <si>
    <t>Rel laci fe hafelle 600 mm</t>
  </si>
  <si>
    <t>Rel laci hafelle 30 cm</t>
  </si>
  <si>
    <t>Rel lipat ambalan</t>
  </si>
  <si>
    <t>Roda sleding SD 380</t>
  </si>
  <si>
    <t>Sd31 - 41 roda sleding credensa</t>
  </si>
  <si>
    <t>Sekrup erdos</t>
  </si>
  <si>
    <t>Sepatu plastik ejaster diameter 45 cm</t>
  </si>
  <si>
    <t>Ls t 6200</t>
  </si>
  <si>
    <t>Sp 002 N hdl dks</t>
  </si>
  <si>
    <t>KCBL</t>
  </si>
  <si>
    <t>Stapless gun</t>
  </si>
  <si>
    <t>Panel PVC coklat 3mtr</t>
  </si>
  <si>
    <t>Tutup minifik coklat</t>
  </si>
  <si>
    <t>Tz-18 128 mm</t>
  </si>
  <si>
    <t>Kran American</t>
  </si>
  <si>
    <t>Toto Afur</t>
  </si>
  <si>
    <t>Toto Kran</t>
  </si>
  <si>
    <t>Slang Fleksibel Avur</t>
  </si>
  <si>
    <t>Waser afur</t>
  </si>
  <si>
    <t>Waser( stoper kran )</t>
  </si>
  <si>
    <t>Klem Pipa</t>
  </si>
  <si>
    <t>Round Cable Clips</t>
  </si>
  <si>
    <t>Adjuster 8 mm</t>
  </si>
  <si>
    <t>Roda sleding Plastik Coklat</t>
  </si>
  <si>
    <t>HASP Staples Horrison</t>
  </si>
  <si>
    <t>Roda Sleding Kayu Besar</t>
  </si>
  <si>
    <t>Mur Nanas</t>
  </si>
  <si>
    <t>Mur Baut 9 cm</t>
  </si>
  <si>
    <t>Roda Elevator</t>
  </si>
  <si>
    <t>Sekrup Bulat</t>
  </si>
  <si>
    <t>Peniklan Kecil</t>
  </si>
  <si>
    <t>Handle Pentol Putih Plastik</t>
  </si>
  <si>
    <t>Handle Pentol Ikan Emas</t>
  </si>
  <si>
    <t>Bracket Pipa Alumunium Huben</t>
  </si>
  <si>
    <t>Handle Tanam Albion</t>
  </si>
  <si>
    <t>Handle Tarik Kecil 10 cm</t>
  </si>
  <si>
    <t>Handle Tarik Besar 10 cm</t>
  </si>
  <si>
    <t>Kaki Sofa 10 cm Biasa</t>
  </si>
  <si>
    <t>Adjuster 55 cm</t>
  </si>
  <si>
    <t>Adjuster 45 cm</t>
  </si>
  <si>
    <t>Kunci Drolla DL22-B</t>
  </si>
  <si>
    <t>Sepatu Sofa Plastik Hitam</t>
  </si>
  <si>
    <t>Lubang Kabel Coklat</t>
  </si>
  <si>
    <t>Lubang Kabel Hitam</t>
  </si>
  <si>
    <t>Rumah Lampu Zetalix</t>
  </si>
  <si>
    <t>Handle pentol Kayu Hijau</t>
  </si>
  <si>
    <t>cover led 3mtr</t>
  </si>
  <si>
    <t>Kaca 85 x 4</t>
  </si>
  <si>
    <t>Rel Laci  Huben 30 cm</t>
  </si>
  <si>
    <t>Rel laci hafelle 400 mm (Putih)</t>
  </si>
  <si>
    <t>Rel laci hafelle 350mm (Putih)</t>
  </si>
  <si>
    <t>Rel laci Fe  hafelle 550 mm (Putih)</t>
  </si>
  <si>
    <t>Mortise RL Kecil Dekson</t>
  </si>
  <si>
    <t>Mortise IL Besar Dekson</t>
  </si>
  <si>
    <t>Mortise IL Kecil Dekson</t>
  </si>
  <si>
    <t>Leher Kran Waser</t>
  </si>
  <si>
    <t>Rel Tandem</t>
  </si>
  <si>
    <t>Ambalan Rak 47 cm</t>
  </si>
  <si>
    <t>Rel Laci Fe Huben 30 cm</t>
  </si>
  <si>
    <t>Rel Laci Fe Huben 45 cm</t>
  </si>
  <si>
    <t>Rel Laci Huben 45 cm Putih</t>
  </si>
  <si>
    <t>Ambalan Rak 43 cm</t>
  </si>
  <si>
    <t>Rel Laci Fe Mapla 30 cm</t>
  </si>
  <si>
    <t>Rel Laci Fe Mapla 50 cm</t>
  </si>
  <si>
    <t>Flush Bolt Dekson 12 cm</t>
  </si>
  <si>
    <t>Rel Laci Huben 40 cm</t>
  </si>
  <si>
    <t>Rel Laci Baolisi 45 cm metal</t>
  </si>
  <si>
    <t>Rel Laci Fe Elco 40 cm</t>
  </si>
  <si>
    <t>Handle Tarik Nature 30 cm</t>
  </si>
  <si>
    <t>Handle Tarik Nature 25 cm</t>
  </si>
  <si>
    <t>Handle Tarik Henson 15 cm</t>
  </si>
  <si>
    <t>Handle Tarik Yane 15 cm</t>
  </si>
  <si>
    <t>Handle Tarik Nature 15 cm</t>
  </si>
  <si>
    <t>Handle Tarik 16 cm</t>
  </si>
  <si>
    <t>Handle Tarik 35 cm</t>
  </si>
  <si>
    <t>Sekrup 5/8</t>
  </si>
  <si>
    <t>Handle Tarik Heane</t>
  </si>
  <si>
    <t>Grendel Emas</t>
  </si>
  <si>
    <t>Rel Laci Huben 30 cm Putih</t>
  </si>
  <si>
    <t>Rel Laci Fe Huben 35 cm</t>
  </si>
  <si>
    <t>Bracket Ambalan Rak 42 cm</t>
  </si>
  <si>
    <t>Bracket Ambalan Rak 40 cm</t>
  </si>
  <si>
    <t>Handle Tarik 235</t>
  </si>
  <si>
    <t>Mini Floor Hinge</t>
  </si>
  <si>
    <t>Grendel Besi Dolpin</t>
  </si>
  <si>
    <t>Handle Tarik Huben 15 cm</t>
  </si>
  <si>
    <t>Handle Tarik Alumunium Huben 23 cm</t>
  </si>
  <si>
    <t>Stiainless Steel Kran</t>
  </si>
  <si>
    <t>Trapes Huben</t>
  </si>
  <si>
    <t>Handle Tarik Emas</t>
  </si>
  <si>
    <t>Engsel Lurus TACO</t>
  </si>
  <si>
    <t>Grendel Plastik Pencet Huben</t>
  </si>
  <si>
    <t>Siku Hitam</t>
  </si>
  <si>
    <t>Kunci Loker Huben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</si>
</sst>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Rp-421]* #,##0.00_-;_-[$Rp-421]* \-#,##0.00_-;_-[$Rp-421]* &quot;-&quot;??_-;_-@"/>
    <numFmt numFmtId="165" formatCode="&quot;Rp&quot;#,##0.00"/>
    <numFmt numFmtId="166" formatCode="_(&quot;Rp&quot;* #,##0_);_(&quot;Rp&quot;* \(#,##0\);_(&quot;Rp&quot;* &quot;-&quot;_);_(@_)"/>
    <numFmt numFmtId="167" formatCode="0.0"/>
    <numFmt numFmtId="168" formatCode="_(&quot;Rp&quot;* #,##0.00_);_(&quot;Rp&quot;* \(#,##0.00\);_(&quot;Rp&quot;* &quot;-&quot;??_);_(@_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F243E"/>
      <name val="Calibri"/>
    </font>
    <font/>
    <font>
      <sz val="22.0"/>
      <color rgb="FF0F243E"/>
      <name val="Calibri"/>
    </font>
    <font>
      <b/>
      <sz val="11.0"/>
      <color theme="1"/>
      <name val="Calibri"/>
    </font>
    <font>
      <sz val="11.0"/>
      <color rgb="FF17365D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8CCE4"/>
        <bgColor rgb="FFB8CCE4"/>
      </patternFill>
    </fill>
    <fill>
      <patternFill patternType="solid">
        <fgColor rgb="FFFCD5B4"/>
        <bgColor rgb="FFFCD5B4"/>
      </patternFill>
    </fill>
    <fill>
      <patternFill patternType="solid">
        <fgColor rgb="FFE6B8B7"/>
        <bgColor rgb="FFE6B8B7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left style="thin">
        <color rgb="FF17365D"/>
      </left>
      <right style="thin">
        <color rgb="FF17365D"/>
      </right>
      <top style="thin">
        <color rgb="FF17365D"/>
      </top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17365D"/>
      </left>
      <top style="thin">
        <color rgb="FF17365D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7365D"/>
      </left>
      <right style="thin">
        <color rgb="FF17365D"/>
      </right>
      <bottom style="thin">
        <color rgb="FF17365D"/>
      </bottom>
    </border>
    <border>
      <left style="thin">
        <color rgb="FF17365D"/>
      </left>
      <right style="thin">
        <color rgb="FF17365D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7365D"/>
      </left>
      <bottom style="thin">
        <color rgb="FF17365D"/>
      </bottom>
    </border>
    <border>
      <left style="thin">
        <color rgb="FF17365D"/>
      </left>
      <right style="thin">
        <color rgb="FF17365D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vertical="bottom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3" numFmtId="0" xfId="0" applyBorder="1" applyFont="1"/>
    <xf borderId="0" fillId="0" fontId="2" numFmtId="0" xfId="0" applyFont="1"/>
    <xf borderId="0" fillId="0" fontId="2" numFmtId="164" xfId="0" applyFont="1" applyNumberFormat="1"/>
    <xf borderId="1" fillId="2" fontId="1" numFmtId="0" xfId="0" applyBorder="1" applyFill="1" applyFont="1"/>
    <xf borderId="0" fillId="0" fontId="4" numFmtId="0" xfId="0" applyAlignment="1" applyFont="1">
      <alignment vertical="bottom"/>
    </xf>
    <xf borderId="0" fillId="0" fontId="4" numFmtId="0" xfId="0" applyFont="1"/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/>
    </xf>
    <xf borderId="3" fillId="0" fontId="2" numFmtId="0" xfId="0" applyBorder="1" applyFont="1"/>
    <xf borderId="3" fillId="4" fontId="2" numFmtId="4" xfId="0" applyAlignment="1" applyBorder="1" applyFill="1" applyFont="1" applyNumberForma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0" fillId="5" fontId="5" numFmtId="0" xfId="0" applyAlignment="1" applyFill="1" applyFont="1">
      <alignment horizontal="center" vertical="bottom"/>
    </xf>
    <xf borderId="3" fillId="0" fontId="2" numFmtId="0" xfId="0" applyAlignment="1" applyBorder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0" fillId="6" fontId="1" numFmtId="0" xfId="0" applyAlignment="1" applyFill="1" applyFont="1">
      <alignment horizontal="center" vertical="bottom"/>
    </xf>
    <xf borderId="5" fillId="0" fontId="2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bottom"/>
    </xf>
    <xf borderId="3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right" vertical="bottom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7" fillId="0" fontId="3" numFmtId="0" xfId="0" applyBorder="1" applyFont="1"/>
    <xf borderId="8" fillId="0" fontId="1" numFmtId="0" xfId="0" applyAlignment="1" applyBorder="1" applyFont="1">
      <alignment vertical="bottom"/>
    </xf>
    <xf borderId="9" fillId="0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6" fillId="0" fontId="6" numFmtId="0" xfId="0" applyAlignment="1" applyBorder="1" applyFont="1">
      <alignment horizontal="center"/>
    </xf>
    <xf borderId="12" fillId="0" fontId="3" numFmtId="0" xfId="0" applyBorder="1" applyFont="1"/>
    <xf borderId="8" fillId="0" fontId="1" numFmtId="0" xfId="0" applyBorder="1" applyFont="1"/>
    <xf borderId="13" fillId="0" fontId="3" numFmtId="0" xfId="0" applyBorder="1" applyFont="1"/>
    <xf borderId="14" fillId="0" fontId="3" numFmtId="0" xfId="0" applyBorder="1" applyFont="1"/>
    <xf borderId="6" fillId="0" fontId="6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5" fillId="0" fontId="1" numFmtId="164" xfId="0" applyBorder="1" applyFont="1" applyNumberFormat="1"/>
    <xf borderId="9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 vertical="bottom"/>
    </xf>
    <xf borderId="0" fillId="0" fontId="7" numFmtId="165" xfId="0" applyAlignment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horizontal="center" readingOrder="0" vertical="bottom"/>
    </xf>
    <xf borderId="8" fillId="0" fontId="6" numFmtId="166" xfId="0" applyAlignment="1" applyBorder="1" applyFont="1" applyNumberFormat="1">
      <alignment horizontal="right" vertical="bottom"/>
    </xf>
    <xf borderId="8" fillId="0" fontId="6" numFmtId="166" xfId="0" applyAlignment="1" applyBorder="1" applyFont="1" applyNumberFormat="1">
      <alignment horizontal="center" vertical="bottom"/>
    </xf>
    <xf borderId="0" fillId="3" fontId="8" numFmtId="167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8" fillId="0" fontId="8" numFmtId="168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7" fontId="1" numFmtId="0" xfId="0" applyAlignment="1" applyFill="1" applyFont="1">
      <alignment vertical="bottom"/>
    </xf>
    <xf borderId="0" fillId="7" fontId="1" numFmtId="0" xfId="0" applyAlignment="1" applyFill="1" applyFont="1">
      <alignment horizontal="right" vertical="bottom"/>
    </xf>
    <xf borderId="8" fillId="0" fontId="8" numFmtId="168" xfId="0" applyAlignment="1" applyBorder="1" applyFont="1" applyNumberFormat="1">
      <alignment horizontal="right" vertical="bottom"/>
    </xf>
    <xf borderId="0" fillId="3" fontId="8" numFmtId="167" xfId="0" applyAlignment="1" applyFill="1" applyFont="1" applyNumberFormat="1">
      <alignment horizontal="right" readingOrder="0" vertical="bottom"/>
    </xf>
    <xf borderId="0" fillId="0" fontId="8" numFmtId="167" xfId="0" applyAlignment="1" applyFont="1" applyNumberFormat="1">
      <alignment horizontal="right" vertical="bottom"/>
    </xf>
    <xf borderId="8" fillId="0" fontId="9" numFmtId="168" xfId="0" applyAlignment="1" applyBorder="1" applyFont="1" applyNumberFormat="1">
      <alignment vertical="bottom"/>
    </xf>
    <xf borderId="0" fillId="0" fontId="9" numFmtId="167" xfId="0" applyAlignment="1" applyFont="1" applyNumberFormat="1">
      <alignment vertical="bottom"/>
    </xf>
    <xf borderId="8" fillId="0" fontId="9" numFmtId="168" xfId="0" applyAlignment="1" applyBorder="1" applyFont="1" applyNumberFormat="1">
      <alignment readingOrder="0" vertical="bottom"/>
    </xf>
    <xf borderId="0" fillId="3" fontId="9" numFmtId="167" xfId="0" applyAlignment="1" applyFill="1" applyFont="1" applyNumberFormat="1">
      <alignment vertical="bottom"/>
    </xf>
    <xf borderId="8" fillId="0" fontId="8" numFmtId="164" xfId="0" applyAlignment="1" applyBorder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2" fontId="6" numFmtId="166" xfId="0" applyAlignment="1" applyFill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6" numFmtId="166" xfId="0" applyAlignment="1" applyFill="1" applyFont="1" applyNumberForma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8" fillId="0" fontId="8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38100</xdr:rowOff>
    </xdr:from>
    <xdr:ext cx="638175" cy="5334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0</xdr:row>
      <xdr:rowOff>38100</xdr:rowOff>
    </xdr:from>
    <xdr:ext cx="1533525" cy="6477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38100</xdr:rowOff>
    </xdr:from>
    <xdr:ext cx="638175" cy="5334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0</xdr:row>
      <xdr:rowOff>38100</xdr:rowOff>
    </xdr:from>
    <xdr:ext cx="1533525" cy="6477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71"/>
    <col customWidth="1" min="3" max="3" width="30.29"/>
    <col customWidth="1" min="4" max="4" width="26.14"/>
    <col customWidth="1" min="5" max="5" width="8.71"/>
    <col customWidth="1" min="6" max="6" width="26.43"/>
    <col customWidth="1" min="8" max="8" width="27.14"/>
    <col customWidth="1" min="13" max="13" width="20.57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1</v>
      </c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2"/>
      <c r="E4" s="1"/>
      <c r="F4" s="1"/>
      <c r="G4" s="11"/>
      <c r="H4" s="1"/>
      <c r="I4" s="1"/>
      <c r="J4" s="1"/>
      <c r="K4" s="1"/>
      <c r="L4" s="1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3</v>
      </c>
      <c r="C5" s="14"/>
      <c r="D5" s="2"/>
      <c r="E5" s="1"/>
      <c r="F5" s="1"/>
      <c r="G5" s="11"/>
      <c r="H5" s="1"/>
      <c r="I5" s="1"/>
      <c r="J5" s="1"/>
      <c r="K5" s="1"/>
      <c r="L5" s="1"/>
      <c r="M5" s="1"/>
      <c r="N5" s="1"/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8"/>
      <c r="D6" s="2"/>
      <c r="E6" s="1"/>
      <c r="F6" s="1"/>
      <c r="G6" s="11"/>
      <c r="H6" s="1"/>
      <c r="I6" s="1"/>
      <c r="J6" s="1"/>
      <c r="K6" s="1"/>
      <c r="L6" s="1"/>
      <c r="M6" s="1"/>
      <c r="N6" s="1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5</v>
      </c>
      <c r="C7" s="21" t="s">
        <v>6</v>
      </c>
      <c r="D7" s="23" t="s">
        <v>8</v>
      </c>
      <c r="E7" s="26" t="s">
        <v>9</v>
      </c>
      <c r="F7" s="29" t="s">
        <v>11</v>
      </c>
      <c r="G7" s="31" t="s">
        <v>12</v>
      </c>
      <c r="H7" s="29" t="s">
        <v>11</v>
      </c>
      <c r="I7" s="35" t="s">
        <v>16</v>
      </c>
      <c r="J7" s="36" t="s">
        <v>18</v>
      </c>
      <c r="K7" s="38"/>
      <c r="L7" s="38"/>
      <c r="M7" s="39"/>
      <c r="N7" s="1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2"/>
      <c r="C8" s="43" t="s">
        <v>21</v>
      </c>
      <c r="D8" s="44"/>
      <c r="E8" s="42"/>
      <c r="F8" s="46"/>
      <c r="G8" s="42"/>
      <c r="H8" s="46"/>
      <c r="I8" s="47"/>
      <c r="J8" s="49" t="s">
        <v>24</v>
      </c>
      <c r="K8" s="50" t="s">
        <v>11</v>
      </c>
      <c r="L8" s="52" t="s">
        <v>26</v>
      </c>
      <c r="M8" s="50" t="s">
        <v>11</v>
      </c>
      <c r="N8" s="1"/>
      <c r="O8" s="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4">
        <v>1.0</v>
      </c>
      <c r="C9" s="56" t="s">
        <v>30</v>
      </c>
      <c r="D9" s="57">
        <f>224444.44/1.11</f>
        <v>202202.1982</v>
      </c>
      <c r="E9" s="58">
        <v>338.0</v>
      </c>
      <c r="F9" s="59"/>
      <c r="G9" s="58">
        <v>338.0</v>
      </c>
      <c r="H9" s="59">
        <f t="shared" ref="H9:H726" si="1">G9*D9</f>
        <v>68344342.99</v>
      </c>
      <c r="I9" s="39"/>
      <c r="J9" s="39"/>
      <c r="K9" s="60">
        <f t="shared" ref="K9:K726" si="2">J9*D9</f>
        <v>0</v>
      </c>
      <c r="L9" s="39"/>
      <c r="M9" s="59">
        <f t="shared" ref="M9:M726" si="3">L9*D9</f>
        <v>0</v>
      </c>
      <c r="N9" s="61">
        <v>338.0</v>
      </c>
      <c r="O9" s="62">
        <f t="shared" ref="O9:O726" si="4">N9-G9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4">
        <v>2.0</v>
      </c>
      <c r="C10" s="56" t="s">
        <v>43</v>
      </c>
      <c r="D10" s="63">
        <f>83777.78/1.11</f>
        <v>75475.47748</v>
      </c>
      <c r="E10" s="58">
        <v>31.0</v>
      </c>
      <c r="F10" s="59">
        <f t="shared" ref="F10:F12" si="5">E10*D10</f>
        <v>2339739.802</v>
      </c>
      <c r="G10" s="58">
        <v>31.0</v>
      </c>
      <c r="H10" s="59">
        <f t="shared" si="1"/>
        <v>2339739.802</v>
      </c>
      <c r="I10" s="39"/>
      <c r="J10" s="39"/>
      <c r="K10" s="60">
        <f t="shared" si="2"/>
        <v>0</v>
      </c>
      <c r="L10" s="39"/>
      <c r="M10" s="59">
        <f t="shared" si="3"/>
        <v>0</v>
      </c>
      <c r="N10" s="61">
        <v>31.0</v>
      </c>
      <c r="O10" s="62">
        <f t="shared" si="4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4">
        <v>3.0</v>
      </c>
      <c r="C11" s="56" t="s">
        <v>49</v>
      </c>
      <c r="D11" s="63">
        <f>135666.67/1.11</f>
        <v>122222.2252</v>
      </c>
      <c r="E11" s="58">
        <v>46.0</v>
      </c>
      <c r="F11" s="59">
        <f t="shared" si="5"/>
        <v>5622222.36</v>
      </c>
      <c r="G11" s="58">
        <v>46.0</v>
      </c>
      <c r="H11" s="59">
        <f t="shared" si="1"/>
        <v>5622222.36</v>
      </c>
      <c r="I11" s="39"/>
      <c r="J11" s="39"/>
      <c r="K11" s="60">
        <f t="shared" si="2"/>
        <v>0</v>
      </c>
      <c r="L11" s="39"/>
      <c r="M11" s="59">
        <f t="shared" si="3"/>
        <v>0</v>
      </c>
      <c r="N11" s="61">
        <v>46.0</v>
      </c>
      <c r="O11" s="62">
        <f t="shared" si="4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4">
        <v>4.0</v>
      </c>
      <c r="C12" s="56" t="s">
        <v>51</v>
      </c>
      <c r="D12" s="63">
        <f>172666.67/1.11</f>
        <v>155555.5586</v>
      </c>
      <c r="E12" s="58">
        <v>107.0</v>
      </c>
      <c r="F12" s="59">
        <f t="shared" si="5"/>
        <v>16644444.77</v>
      </c>
      <c r="G12" s="58">
        <v>107.0</v>
      </c>
      <c r="H12" s="59">
        <f t="shared" si="1"/>
        <v>16644444.77</v>
      </c>
      <c r="I12" s="39"/>
      <c r="J12" s="39"/>
      <c r="K12" s="60">
        <f t="shared" si="2"/>
        <v>0</v>
      </c>
      <c r="L12" s="39"/>
      <c r="M12" s="59">
        <f t="shared" si="3"/>
        <v>0</v>
      </c>
      <c r="N12" s="61">
        <v>107.0</v>
      </c>
      <c r="O12" s="62">
        <f t="shared" si="4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4">
        <v>5.0</v>
      </c>
      <c r="C13" s="56" t="s">
        <v>53</v>
      </c>
      <c r="D13" s="67">
        <f>205000/1.11</f>
        <v>184684.6847</v>
      </c>
      <c r="E13" s="58">
        <v>0.0</v>
      </c>
      <c r="F13" s="59"/>
      <c r="G13" s="58">
        <v>0.0</v>
      </c>
      <c r="H13" s="59">
        <f t="shared" si="1"/>
        <v>0</v>
      </c>
      <c r="I13" s="39"/>
      <c r="J13" s="39"/>
      <c r="K13" s="60">
        <f t="shared" si="2"/>
        <v>0</v>
      </c>
      <c r="L13" s="39"/>
      <c r="M13" s="59">
        <f t="shared" si="3"/>
        <v>0</v>
      </c>
      <c r="N13" s="61">
        <v>0.0</v>
      </c>
      <c r="O13" s="62">
        <f t="shared" si="4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4">
        <v>6.0</v>
      </c>
      <c r="C14" s="56" t="s">
        <v>54</v>
      </c>
      <c r="D14" s="63">
        <f>132000/1.11</f>
        <v>118918.9189</v>
      </c>
      <c r="E14" s="58">
        <v>7.0</v>
      </c>
      <c r="F14" s="59">
        <f t="shared" ref="F14:F726" si="6">E14*D14</f>
        <v>832432.4324</v>
      </c>
      <c r="G14" s="58">
        <v>7.0</v>
      </c>
      <c r="H14" s="59">
        <f t="shared" si="1"/>
        <v>832432.4324</v>
      </c>
      <c r="I14" s="39"/>
      <c r="J14" s="39"/>
      <c r="K14" s="60">
        <f t="shared" si="2"/>
        <v>0</v>
      </c>
      <c r="L14" s="39"/>
      <c r="M14" s="59">
        <f t="shared" si="3"/>
        <v>0</v>
      </c>
      <c r="N14" s="61">
        <v>7.0</v>
      </c>
      <c r="O14" s="62">
        <f t="shared" si="4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4">
        <v>7.0</v>
      </c>
      <c r="C15" s="56" t="s">
        <v>55</v>
      </c>
      <c r="D15" s="63">
        <f>60333/1.11</f>
        <v>54354.05405</v>
      </c>
      <c r="E15" s="58">
        <v>104.0</v>
      </c>
      <c r="F15" s="59">
        <f t="shared" si="6"/>
        <v>5652821.622</v>
      </c>
      <c r="G15" s="58">
        <v>104.0</v>
      </c>
      <c r="H15" s="59">
        <f t="shared" si="1"/>
        <v>5652821.622</v>
      </c>
      <c r="I15" s="39"/>
      <c r="J15" s="39"/>
      <c r="K15" s="60">
        <f t="shared" si="2"/>
        <v>0</v>
      </c>
      <c r="L15" s="39"/>
      <c r="M15" s="59">
        <f t="shared" si="3"/>
        <v>0</v>
      </c>
      <c r="N15" s="61">
        <v>104.0</v>
      </c>
      <c r="O15" s="62">
        <f t="shared" si="4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4">
        <v>8.0</v>
      </c>
      <c r="C16" s="56" t="s">
        <v>56</v>
      </c>
      <c r="D16" s="67">
        <v>285000.0</v>
      </c>
      <c r="E16" s="58">
        <v>4.0</v>
      </c>
      <c r="F16" s="59">
        <f t="shared" si="6"/>
        <v>1140000</v>
      </c>
      <c r="G16" s="58">
        <v>4.0</v>
      </c>
      <c r="H16" s="59">
        <f t="shared" si="1"/>
        <v>1140000</v>
      </c>
      <c r="I16" s="39"/>
      <c r="J16" s="39"/>
      <c r="K16" s="60">
        <f t="shared" si="2"/>
        <v>0</v>
      </c>
      <c r="L16" s="39"/>
      <c r="M16" s="59">
        <f t="shared" si="3"/>
        <v>0</v>
      </c>
      <c r="N16" s="61">
        <v>4.0</v>
      </c>
      <c r="O16" s="62">
        <f t="shared" si="4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4">
        <v>9.0</v>
      </c>
      <c r="C17" s="56" t="s">
        <v>57</v>
      </c>
      <c r="D17" s="63">
        <f>152625/1.11</f>
        <v>137500</v>
      </c>
      <c r="E17" s="58">
        <v>12.0</v>
      </c>
      <c r="F17" s="59">
        <f t="shared" si="6"/>
        <v>1650000</v>
      </c>
      <c r="G17" s="58">
        <v>12.0</v>
      </c>
      <c r="H17" s="59">
        <f t="shared" si="1"/>
        <v>1650000</v>
      </c>
      <c r="I17" s="39"/>
      <c r="J17" s="39"/>
      <c r="K17" s="60">
        <f t="shared" si="2"/>
        <v>0</v>
      </c>
      <c r="L17" s="39"/>
      <c r="M17" s="59">
        <f t="shared" si="3"/>
        <v>0</v>
      </c>
      <c r="N17" s="61">
        <v>12.0</v>
      </c>
      <c r="O17" s="62">
        <f t="shared" si="4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4">
        <v>10.0</v>
      </c>
      <c r="C18" s="56" t="s">
        <v>58</v>
      </c>
      <c r="D18" s="67">
        <v>167994.59</v>
      </c>
      <c r="E18" s="58">
        <v>413.0</v>
      </c>
      <c r="F18" s="59">
        <f t="shared" si="6"/>
        <v>69381765.67</v>
      </c>
      <c r="G18" s="58">
        <v>413.0</v>
      </c>
      <c r="H18" s="59">
        <f t="shared" si="1"/>
        <v>69381765.67</v>
      </c>
      <c r="I18" s="39"/>
      <c r="J18" s="39"/>
      <c r="K18" s="60">
        <f t="shared" si="2"/>
        <v>0</v>
      </c>
      <c r="L18" s="39"/>
      <c r="M18" s="59">
        <f t="shared" si="3"/>
        <v>0</v>
      </c>
      <c r="N18" s="61">
        <v>413.0</v>
      </c>
      <c r="O18" s="62">
        <f t="shared" si="4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4">
        <v>11.0</v>
      </c>
      <c r="C19" s="56" t="s">
        <v>59</v>
      </c>
      <c r="D19" s="67">
        <v>193094.59</v>
      </c>
      <c r="E19" s="58">
        <v>488.0</v>
      </c>
      <c r="F19" s="59">
        <f t="shared" si="6"/>
        <v>94230159.92</v>
      </c>
      <c r="G19" s="58">
        <v>488.0</v>
      </c>
      <c r="H19" s="59">
        <f t="shared" si="1"/>
        <v>94230159.92</v>
      </c>
      <c r="I19" s="39"/>
      <c r="J19" s="39"/>
      <c r="K19" s="60">
        <f t="shared" si="2"/>
        <v>0</v>
      </c>
      <c r="L19" s="39"/>
      <c r="M19" s="59">
        <f t="shared" si="3"/>
        <v>0</v>
      </c>
      <c r="N19" s="61">
        <v>488.0</v>
      </c>
      <c r="O19" s="62">
        <f t="shared" si="4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4">
        <v>12.0</v>
      </c>
      <c r="C20" s="56" t="s">
        <v>60</v>
      </c>
      <c r="D20" s="67">
        <v>193094.59</v>
      </c>
      <c r="E20" s="58">
        <v>122.0</v>
      </c>
      <c r="F20" s="59">
        <f t="shared" si="6"/>
        <v>23557539.98</v>
      </c>
      <c r="G20" s="58">
        <v>122.0</v>
      </c>
      <c r="H20" s="59">
        <f t="shared" si="1"/>
        <v>23557539.98</v>
      </c>
      <c r="I20" s="39"/>
      <c r="J20" s="39"/>
      <c r="K20" s="60">
        <f t="shared" si="2"/>
        <v>0</v>
      </c>
      <c r="L20" s="39"/>
      <c r="M20" s="59">
        <f t="shared" si="3"/>
        <v>0</v>
      </c>
      <c r="N20" s="61">
        <v>122.0</v>
      </c>
      <c r="O20" s="62">
        <f t="shared" si="4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4">
        <v>13.0</v>
      </c>
      <c r="C21" s="56" t="s">
        <v>61</v>
      </c>
      <c r="D21" s="67">
        <v>180162.16</v>
      </c>
      <c r="E21" s="56">
        <v>30.0</v>
      </c>
      <c r="F21" s="59">
        <f t="shared" si="6"/>
        <v>5404864.8</v>
      </c>
      <c r="G21" s="56">
        <v>30.0</v>
      </c>
      <c r="H21" s="59">
        <f t="shared" si="1"/>
        <v>5404864.8</v>
      </c>
      <c r="I21" s="39"/>
      <c r="J21" s="39"/>
      <c r="K21" s="60">
        <f t="shared" si="2"/>
        <v>0</v>
      </c>
      <c r="L21" s="39"/>
      <c r="M21" s="59">
        <f t="shared" si="3"/>
        <v>0</v>
      </c>
      <c r="N21" s="61">
        <v>30.0</v>
      </c>
      <c r="O21" s="62">
        <f t="shared" si="4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4">
        <v>14.0</v>
      </c>
      <c r="C22" s="56" t="s">
        <v>62</v>
      </c>
      <c r="D22" s="67">
        <v>285000.0</v>
      </c>
      <c r="E22" s="56">
        <v>31.0</v>
      </c>
      <c r="F22" s="59">
        <f t="shared" si="6"/>
        <v>8835000</v>
      </c>
      <c r="G22" s="56">
        <v>31.0</v>
      </c>
      <c r="H22" s="59">
        <f t="shared" si="1"/>
        <v>8835000</v>
      </c>
      <c r="I22" s="39"/>
      <c r="J22" s="39"/>
      <c r="K22" s="60">
        <f t="shared" si="2"/>
        <v>0</v>
      </c>
      <c r="L22" s="39"/>
      <c r="M22" s="59">
        <f t="shared" si="3"/>
        <v>0</v>
      </c>
      <c r="N22" s="61">
        <v>31.0</v>
      </c>
      <c r="O22" s="62">
        <f t="shared" si="4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4">
        <v>15.0</v>
      </c>
      <c r="C23" s="56" t="s">
        <v>63</v>
      </c>
      <c r="D23" s="67">
        <v>253200.0</v>
      </c>
      <c r="E23" s="56">
        <v>123.0</v>
      </c>
      <c r="F23" s="59">
        <f t="shared" si="6"/>
        <v>31143600</v>
      </c>
      <c r="G23" s="56">
        <v>123.0</v>
      </c>
      <c r="H23" s="59">
        <f t="shared" si="1"/>
        <v>31143600</v>
      </c>
      <c r="I23" s="39"/>
      <c r="J23" s="39"/>
      <c r="K23" s="60">
        <f t="shared" si="2"/>
        <v>0</v>
      </c>
      <c r="L23" s="39"/>
      <c r="M23" s="59">
        <f t="shared" si="3"/>
        <v>0</v>
      </c>
      <c r="N23" s="61">
        <v>123.0</v>
      </c>
      <c r="O23" s="62">
        <f t="shared" si="4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4">
        <v>16.0</v>
      </c>
      <c r="C24" s="56" t="s">
        <v>64</v>
      </c>
      <c r="D24" s="67">
        <v>285000.0</v>
      </c>
      <c r="E24" s="56">
        <v>34.0</v>
      </c>
      <c r="F24" s="59">
        <f t="shared" si="6"/>
        <v>9690000</v>
      </c>
      <c r="G24" s="56">
        <v>34.0</v>
      </c>
      <c r="H24" s="59">
        <f t="shared" si="1"/>
        <v>9690000</v>
      </c>
      <c r="I24" s="39"/>
      <c r="J24" s="39"/>
      <c r="K24" s="60">
        <f t="shared" si="2"/>
        <v>0</v>
      </c>
      <c r="L24" s="39"/>
      <c r="M24" s="59">
        <f t="shared" si="3"/>
        <v>0</v>
      </c>
      <c r="N24" s="61">
        <v>34.0</v>
      </c>
      <c r="O24" s="62">
        <f t="shared" si="4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4">
        <v>17.0</v>
      </c>
      <c r="C25" s="56" t="s">
        <v>65</v>
      </c>
      <c r="D25" s="67">
        <v>299250.0</v>
      </c>
      <c r="E25" s="56">
        <v>1493.0</v>
      </c>
      <c r="F25" s="59">
        <f t="shared" si="6"/>
        <v>446780250</v>
      </c>
      <c r="G25" s="56">
        <v>1493.0</v>
      </c>
      <c r="H25" s="59">
        <f t="shared" si="1"/>
        <v>446780250</v>
      </c>
      <c r="I25" s="39"/>
      <c r="J25" s="39"/>
      <c r="K25" s="60">
        <f t="shared" si="2"/>
        <v>0</v>
      </c>
      <c r="L25" s="39"/>
      <c r="M25" s="59">
        <f t="shared" si="3"/>
        <v>0</v>
      </c>
      <c r="N25" s="61">
        <v>1493.0</v>
      </c>
      <c r="O25" s="62">
        <f t="shared" si="4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4">
        <v>18.0</v>
      </c>
      <c r="C26" s="56" t="s">
        <v>66</v>
      </c>
      <c r="D26" s="67">
        <v>280285.59</v>
      </c>
      <c r="E26" s="56">
        <v>973.0</v>
      </c>
      <c r="F26" s="59">
        <f t="shared" si="6"/>
        <v>272717879.1</v>
      </c>
      <c r="G26" s="56">
        <v>973.0</v>
      </c>
      <c r="H26" s="59">
        <f t="shared" si="1"/>
        <v>272717879.1</v>
      </c>
      <c r="I26" s="39"/>
      <c r="J26" s="39"/>
      <c r="K26" s="60">
        <f t="shared" si="2"/>
        <v>0</v>
      </c>
      <c r="L26" s="39"/>
      <c r="M26" s="59">
        <f t="shared" si="3"/>
        <v>0</v>
      </c>
      <c r="N26" s="61">
        <v>973.0</v>
      </c>
      <c r="O26" s="62">
        <f t="shared" si="4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4">
        <v>19.0</v>
      </c>
      <c r="C27" s="56" t="s">
        <v>67</v>
      </c>
      <c r="D27" s="67">
        <v>133783.78</v>
      </c>
      <c r="E27" s="56">
        <v>21.0</v>
      </c>
      <c r="F27" s="59">
        <f t="shared" si="6"/>
        <v>2809459.38</v>
      </c>
      <c r="G27" s="56">
        <v>21.0</v>
      </c>
      <c r="H27" s="59">
        <f t="shared" si="1"/>
        <v>2809459.38</v>
      </c>
      <c r="I27" s="39"/>
      <c r="J27" s="39"/>
      <c r="K27" s="60">
        <f t="shared" si="2"/>
        <v>0</v>
      </c>
      <c r="L27" s="39"/>
      <c r="M27" s="59">
        <f t="shared" si="3"/>
        <v>0</v>
      </c>
      <c r="N27" s="61">
        <v>21.0</v>
      </c>
      <c r="O27" s="62">
        <f t="shared" si="4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4">
        <v>20.0</v>
      </c>
      <c r="C28" s="56" t="s">
        <v>68</v>
      </c>
      <c r="D28" s="67">
        <v>175702.7</v>
      </c>
      <c r="E28" s="56">
        <v>503.0</v>
      </c>
      <c r="F28" s="59">
        <f t="shared" si="6"/>
        <v>88378458.1</v>
      </c>
      <c r="G28" s="56">
        <v>503.0</v>
      </c>
      <c r="H28" s="59">
        <f t="shared" si="1"/>
        <v>88378458.1</v>
      </c>
      <c r="I28" s="39"/>
      <c r="J28" s="39"/>
      <c r="K28" s="60">
        <f t="shared" si="2"/>
        <v>0</v>
      </c>
      <c r="L28" s="39"/>
      <c r="M28" s="59">
        <f t="shared" si="3"/>
        <v>0</v>
      </c>
      <c r="N28" s="68">
        <v>503.0</v>
      </c>
      <c r="O28" s="62">
        <f t="shared" si="4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4">
        <v>21.0</v>
      </c>
      <c r="C29" s="56" t="s">
        <v>69</v>
      </c>
      <c r="D29" s="67">
        <v>329000.0</v>
      </c>
      <c r="E29" s="56">
        <v>249.0</v>
      </c>
      <c r="F29" s="59">
        <f t="shared" si="6"/>
        <v>81921000</v>
      </c>
      <c r="G29" s="56">
        <v>249.0</v>
      </c>
      <c r="H29" s="59">
        <f t="shared" si="1"/>
        <v>81921000</v>
      </c>
      <c r="I29" s="39"/>
      <c r="J29" s="39"/>
      <c r="K29" s="60">
        <f t="shared" si="2"/>
        <v>0</v>
      </c>
      <c r="L29" s="39"/>
      <c r="M29" s="59">
        <f t="shared" si="3"/>
        <v>0</v>
      </c>
      <c r="N29" s="61">
        <v>249.0</v>
      </c>
      <c r="O29" s="62">
        <f t="shared" si="4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4">
        <v>22.0</v>
      </c>
      <c r="C30" s="56" t="s">
        <v>70</v>
      </c>
      <c r="D30" s="67">
        <v>189189.19</v>
      </c>
      <c r="E30" s="56">
        <v>139.0</v>
      </c>
      <c r="F30" s="59">
        <f t="shared" si="6"/>
        <v>26297297.41</v>
      </c>
      <c r="G30" s="56">
        <v>139.0</v>
      </c>
      <c r="H30" s="59">
        <f t="shared" si="1"/>
        <v>26297297.41</v>
      </c>
      <c r="I30" s="39"/>
      <c r="J30" s="39"/>
      <c r="K30" s="60">
        <f t="shared" si="2"/>
        <v>0</v>
      </c>
      <c r="L30" s="39"/>
      <c r="M30" s="59">
        <f t="shared" si="3"/>
        <v>0</v>
      </c>
      <c r="N30" s="61">
        <v>139.0</v>
      </c>
      <c r="O30" s="62">
        <f t="shared" si="4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4">
        <v>23.0</v>
      </c>
      <c r="C31" s="56" t="s">
        <v>71</v>
      </c>
      <c r="D31" s="67">
        <v>193859.07</v>
      </c>
      <c r="E31" s="56">
        <v>31.5</v>
      </c>
      <c r="F31" s="59">
        <f t="shared" si="6"/>
        <v>6106560.705</v>
      </c>
      <c r="G31" s="56">
        <v>31.5</v>
      </c>
      <c r="H31" s="59">
        <f t="shared" si="1"/>
        <v>6106560.705</v>
      </c>
      <c r="I31" s="39"/>
      <c r="J31" s="39"/>
      <c r="K31" s="60">
        <f t="shared" si="2"/>
        <v>0</v>
      </c>
      <c r="L31" s="39"/>
      <c r="M31" s="59">
        <f t="shared" si="3"/>
        <v>0</v>
      </c>
      <c r="N31" s="61">
        <v>31.5</v>
      </c>
      <c r="O31" s="62">
        <f t="shared" si="4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4">
        <v>24.0</v>
      </c>
      <c r="C32" s="56" t="s">
        <v>72</v>
      </c>
      <c r="D32" s="67">
        <v>46714.29</v>
      </c>
      <c r="E32" s="56">
        <v>165.4</v>
      </c>
      <c r="F32" s="59">
        <f t="shared" si="6"/>
        <v>7726543.566</v>
      </c>
      <c r="G32" s="56">
        <v>165.4</v>
      </c>
      <c r="H32" s="59">
        <f t="shared" si="1"/>
        <v>7726543.566</v>
      </c>
      <c r="I32" s="39"/>
      <c r="J32" s="39"/>
      <c r="K32" s="60">
        <f t="shared" si="2"/>
        <v>0</v>
      </c>
      <c r="L32" s="39"/>
      <c r="M32" s="59">
        <f t="shared" si="3"/>
        <v>0</v>
      </c>
      <c r="N32" s="61">
        <v>165.4</v>
      </c>
      <c r="O32" s="62">
        <f t="shared" si="4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4">
        <v>25.0</v>
      </c>
      <c r="C33" s="56" t="s">
        <v>73</v>
      </c>
      <c r="D33" s="67">
        <v>45750.0</v>
      </c>
      <c r="E33" s="56">
        <v>50.0</v>
      </c>
      <c r="F33" s="59">
        <f t="shared" si="6"/>
        <v>2287500</v>
      </c>
      <c r="G33" s="56">
        <v>50.0</v>
      </c>
      <c r="H33" s="59">
        <f t="shared" si="1"/>
        <v>2287500</v>
      </c>
      <c r="I33" s="39"/>
      <c r="J33" s="39"/>
      <c r="K33" s="60">
        <f t="shared" si="2"/>
        <v>0</v>
      </c>
      <c r="L33" s="39"/>
      <c r="M33" s="59">
        <f t="shared" si="3"/>
        <v>0</v>
      </c>
      <c r="N33" s="61">
        <v>50.0</v>
      </c>
      <c r="O33" s="62">
        <f t="shared" si="4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4">
        <v>26.0</v>
      </c>
      <c r="C34" s="56" t="s">
        <v>74</v>
      </c>
      <c r="D34" s="67">
        <v>40540.54</v>
      </c>
      <c r="E34" s="56">
        <v>750.0</v>
      </c>
      <c r="F34" s="59">
        <f t="shared" si="6"/>
        <v>30405405</v>
      </c>
      <c r="G34" s="56">
        <v>750.0</v>
      </c>
      <c r="H34" s="59">
        <f t="shared" si="1"/>
        <v>30405405</v>
      </c>
      <c r="I34" s="39"/>
      <c r="J34" s="39"/>
      <c r="K34" s="60">
        <f t="shared" si="2"/>
        <v>0</v>
      </c>
      <c r="L34" s="39"/>
      <c r="M34" s="59">
        <f t="shared" si="3"/>
        <v>0</v>
      </c>
      <c r="N34" s="61">
        <v>750.0</v>
      </c>
      <c r="O34" s="62">
        <f t="shared" si="4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4">
        <v>27.0</v>
      </c>
      <c r="C35" s="56" t="s">
        <v>75</v>
      </c>
      <c r="D35" s="67">
        <v>16846.85</v>
      </c>
      <c r="E35" s="56">
        <v>360.0</v>
      </c>
      <c r="F35" s="59">
        <f t="shared" si="6"/>
        <v>6064866</v>
      </c>
      <c r="G35" s="56">
        <v>360.0</v>
      </c>
      <c r="H35" s="59">
        <f t="shared" si="1"/>
        <v>6064866</v>
      </c>
      <c r="I35" s="39"/>
      <c r="J35" s="39"/>
      <c r="K35" s="60">
        <f t="shared" si="2"/>
        <v>0</v>
      </c>
      <c r="L35" s="39"/>
      <c r="M35" s="59">
        <f t="shared" si="3"/>
        <v>0</v>
      </c>
      <c r="N35" s="61">
        <v>360.0</v>
      </c>
      <c r="O35" s="62">
        <f t="shared" si="4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4">
        <v>28.0</v>
      </c>
      <c r="C36" s="56" t="s">
        <v>76</v>
      </c>
      <c r="D36" s="67">
        <v>221900.0</v>
      </c>
      <c r="E36" s="56">
        <v>57.0</v>
      </c>
      <c r="F36" s="59">
        <f t="shared" si="6"/>
        <v>12648300</v>
      </c>
      <c r="G36" s="56">
        <v>57.0</v>
      </c>
      <c r="H36" s="59">
        <f t="shared" si="1"/>
        <v>12648300</v>
      </c>
      <c r="I36" s="39"/>
      <c r="J36" s="39"/>
      <c r="K36" s="60">
        <f t="shared" si="2"/>
        <v>0</v>
      </c>
      <c r="L36" s="39"/>
      <c r="M36" s="59">
        <f t="shared" si="3"/>
        <v>0</v>
      </c>
      <c r="N36" s="61">
        <v>57.0</v>
      </c>
      <c r="O36" s="62">
        <f t="shared" si="4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4">
        <v>29.0</v>
      </c>
      <c r="C37" s="56" t="s">
        <v>77</v>
      </c>
      <c r="D37" s="67">
        <v>1682000.0</v>
      </c>
      <c r="E37" s="56">
        <v>6.0</v>
      </c>
      <c r="F37" s="59">
        <f t="shared" si="6"/>
        <v>10092000</v>
      </c>
      <c r="G37" s="56">
        <v>6.0</v>
      </c>
      <c r="H37" s="59">
        <f t="shared" si="1"/>
        <v>10092000</v>
      </c>
      <c r="I37" s="39"/>
      <c r="J37" s="39"/>
      <c r="K37" s="60">
        <f t="shared" si="2"/>
        <v>0</v>
      </c>
      <c r="L37" s="39"/>
      <c r="M37" s="59">
        <f t="shared" si="3"/>
        <v>0</v>
      </c>
      <c r="N37" s="61">
        <v>6.0</v>
      </c>
      <c r="O37" s="62">
        <f t="shared" si="4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4">
        <v>30.0</v>
      </c>
      <c r="C38" s="56" t="s">
        <v>78</v>
      </c>
      <c r="D38" s="67">
        <v>3200.0</v>
      </c>
      <c r="E38" s="56">
        <v>1094.2</v>
      </c>
      <c r="F38" s="59">
        <f t="shared" si="6"/>
        <v>3501440</v>
      </c>
      <c r="G38" s="56">
        <v>1094.2</v>
      </c>
      <c r="H38" s="59">
        <f t="shared" si="1"/>
        <v>3501440</v>
      </c>
      <c r="I38" s="39"/>
      <c r="J38" s="39"/>
      <c r="K38" s="60">
        <f t="shared" si="2"/>
        <v>0</v>
      </c>
      <c r="L38" s="39"/>
      <c r="M38" s="59">
        <f t="shared" si="3"/>
        <v>0</v>
      </c>
      <c r="N38" s="61">
        <v>1094.2</v>
      </c>
      <c r="O38" s="62">
        <f t="shared" si="4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4">
        <v>31.0</v>
      </c>
      <c r="C39" s="56" t="s">
        <v>79</v>
      </c>
      <c r="D39" s="67">
        <v>5200.0</v>
      </c>
      <c r="E39" s="56">
        <v>11639.0</v>
      </c>
      <c r="F39" s="59">
        <f t="shared" si="6"/>
        <v>60522800</v>
      </c>
      <c r="G39" s="56">
        <v>11639.0</v>
      </c>
      <c r="H39" s="59">
        <f t="shared" si="1"/>
        <v>60522800</v>
      </c>
      <c r="I39" s="39"/>
      <c r="J39" s="39"/>
      <c r="K39" s="60">
        <f t="shared" si="2"/>
        <v>0</v>
      </c>
      <c r="L39" s="39"/>
      <c r="M39" s="59">
        <f t="shared" si="3"/>
        <v>0</v>
      </c>
      <c r="N39" s="69">
        <v>11639.0</v>
      </c>
      <c r="O39" s="62">
        <f t="shared" si="4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4">
        <v>32.0</v>
      </c>
      <c r="C40" s="56" t="s">
        <v>80</v>
      </c>
      <c r="D40" s="67">
        <v>5200.0</v>
      </c>
      <c r="E40" s="56">
        <v>9182.15</v>
      </c>
      <c r="F40" s="59">
        <f t="shared" si="6"/>
        <v>47747180</v>
      </c>
      <c r="G40" s="56">
        <v>9182.15</v>
      </c>
      <c r="H40" s="59">
        <f t="shared" si="1"/>
        <v>47747180</v>
      </c>
      <c r="I40" s="39"/>
      <c r="J40" s="39"/>
      <c r="K40" s="60">
        <f t="shared" si="2"/>
        <v>0</v>
      </c>
      <c r="L40" s="39"/>
      <c r="M40" s="59">
        <f t="shared" si="3"/>
        <v>0</v>
      </c>
      <c r="N40" s="69">
        <v>9182.15</v>
      </c>
      <c r="O40" s="62">
        <f t="shared" si="4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4">
        <v>33.0</v>
      </c>
      <c r="C41" s="56" t="s">
        <v>81</v>
      </c>
      <c r="D41" s="67">
        <v>3200.0</v>
      </c>
      <c r="E41" s="56">
        <v>3859.0</v>
      </c>
      <c r="F41" s="59">
        <f t="shared" si="6"/>
        <v>12348800</v>
      </c>
      <c r="G41" s="56">
        <v>3859.0</v>
      </c>
      <c r="H41" s="59">
        <f t="shared" si="1"/>
        <v>12348800</v>
      </c>
      <c r="I41" s="39"/>
      <c r="J41" s="39"/>
      <c r="K41" s="60">
        <f t="shared" si="2"/>
        <v>0</v>
      </c>
      <c r="L41" s="39"/>
      <c r="M41" s="59">
        <f t="shared" si="3"/>
        <v>0</v>
      </c>
      <c r="N41" s="69">
        <v>3859.0</v>
      </c>
      <c r="O41" s="62">
        <f t="shared" si="4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4">
        <v>34.0</v>
      </c>
      <c r="C42" s="56" t="s">
        <v>82</v>
      </c>
      <c r="D42" s="67">
        <v>3200.0</v>
      </c>
      <c r="E42" s="56">
        <v>3295.0</v>
      </c>
      <c r="F42" s="59">
        <f t="shared" si="6"/>
        <v>10544000</v>
      </c>
      <c r="G42" s="56">
        <v>3295.0</v>
      </c>
      <c r="H42" s="59">
        <f t="shared" si="1"/>
        <v>10544000</v>
      </c>
      <c r="I42" s="39"/>
      <c r="J42" s="39"/>
      <c r="K42" s="60">
        <f t="shared" si="2"/>
        <v>0</v>
      </c>
      <c r="L42" s="39"/>
      <c r="M42" s="59">
        <f t="shared" si="3"/>
        <v>0</v>
      </c>
      <c r="N42" s="69">
        <v>3295.0</v>
      </c>
      <c r="O42" s="62">
        <f t="shared" si="4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4">
        <v>35.0</v>
      </c>
      <c r="C43" s="56" t="s">
        <v>83</v>
      </c>
      <c r="D43" s="67">
        <v>7966.0</v>
      </c>
      <c r="E43" s="56">
        <v>5174.4</v>
      </c>
      <c r="F43" s="59">
        <f t="shared" si="6"/>
        <v>41219270.4</v>
      </c>
      <c r="G43" s="56">
        <v>5174.4</v>
      </c>
      <c r="H43" s="59">
        <f t="shared" si="1"/>
        <v>41219270.4</v>
      </c>
      <c r="I43" s="39"/>
      <c r="J43" s="39"/>
      <c r="K43" s="60">
        <f t="shared" si="2"/>
        <v>0</v>
      </c>
      <c r="L43" s="39"/>
      <c r="M43" s="59">
        <f t="shared" si="3"/>
        <v>0</v>
      </c>
      <c r="N43" s="69">
        <v>5174.4</v>
      </c>
      <c r="O43" s="62">
        <f t="shared" si="4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4">
        <v>36.0</v>
      </c>
      <c r="C44" s="56" t="s">
        <v>84</v>
      </c>
      <c r="D44" s="67">
        <v>4172.0</v>
      </c>
      <c r="E44" s="56">
        <v>5646.2</v>
      </c>
      <c r="F44" s="59">
        <f t="shared" si="6"/>
        <v>23555946.4</v>
      </c>
      <c r="G44" s="56">
        <v>5646.2</v>
      </c>
      <c r="H44" s="59">
        <f t="shared" si="1"/>
        <v>23555946.4</v>
      </c>
      <c r="I44" s="39"/>
      <c r="J44" s="39"/>
      <c r="K44" s="60">
        <f t="shared" si="2"/>
        <v>0</v>
      </c>
      <c r="L44" s="39"/>
      <c r="M44" s="59">
        <f t="shared" si="3"/>
        <v>0</v>
      </c>
      <c r="N44" s="69">
        <v>5646.2</v>
      </c>
      <c r="O44" s="62">
        <f t="shared" si="4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4">
        <v>37.0</v>
      </c>
      <c r="C45" s="56" t="s">
        <v>85</v>
      </c>
      <c r="D45" s="67">
        <v>2252.25</v>
      </c>
      <c r="E45" s="56">
        <v>433.0</v>
      </c>
      <c r="F45" s="59">
        <f t="shared" si="6"/>
        <v>975224.25</v>
      </c>
      <c r="G45" s="56">
        <v>433.0</v>
      </c>
      <c r="H45" s="59">
        <f t="shared" si="1"/>
        <v>975224.25</v>
      </c>
      <c r="I45" s="39"/>
      <c r="J45" s="39"/>
      <c r="K45" s="60">
        <f t="shared" si="2"/>
        <v>0</v>
      </c>
      <c r="L45" s="39"/>
      <c r="M45" s="59">
        <f t="shared" si="3"/>
        <v>0</v>
      </c>
      <c r="N45" s="69">
        <v>433.0</v>
      </c>
      <c r="O45" s="62">
        <f t="shared" si="4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4">
        <v>38.0</v>
      </c>
      <c r="C46" s="56" t="s">
        <v>86</v>
      </c>
      <c r="D46" s="67">
        <v>4504.5</v>
      </c>
      <c r="E46" s="56">
        <v>200.0</v>
      </c>
      <c r="F46" s="59">
        <f t="shared" si="6"/>
        <v>900900</v>
      </c>
      <c r="G46" s="56">
        <v>200.0</v>
      </c>
      <c r="H46" s="59">
        <f t="shared" si="1"/>
        <v>900900</v>
      </c>
      <c r="I46" s="39"/>
      <c r="J46" s="39"/>
      <c r="K46" s="60">
        <f t="shared" si="2"/>
        <v>0</v>
      </c>
      <c r="L46" s="39"/>
      <c r="M46" s="59">
        <f t="shared" si="3"/>
        <v>0</v>
      </c>
      <c r="N46" s="69">
        <v>200.0</v>
      </c>
      <c r="O46" s="62">
        <f t="shared" si="4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4">
        <v>39.0</v>
      </c>
      <c r="C47" s="56" t="s">
        <v>87</v>
      </c>
      <c r="D47" s="67">
        <v>5405.41</v>
      </c>
      <c r="E47" s="56">
        <v>800.0</v>
      </c>
      <c r="F47" s="59">
        <f t="shared" si="6"/>
        <v>4324328</v>
      </c>
      <c r="G47" s="56">
        <v>800.0</v>
      </c>
      <c r="H47" s="59">
        <f t="shared" si="1"/>
        <v>4324328</v>
      </c>
      <c r="I47" s="39"/>
      <c r="J47" s="39"/>
      <c r="K47" s="60">
        <f t="shared" si="2"/>
        <v>0</v>
      </c>
      <c r="L47" s="39"/>
      <c r="M47" s="59">
        <f t="shared" si="3"/>
        <v>0</v>
      </c>
      <c r="N47" s="69">
        <v>800.0</v>
      </c>
      <c r="O47" s="62">
        <f t="shared" si="4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4">
        <v>40.0</v>
      </c>
      <c r="C48" s="56" t="s">
        <v>88</v>
      </c>
      <c r="D48" s="67">
        <v>5405.41</v>
      </c>
      <c r="E48" s="56">
        <v>1000.0</v>
      </c>
      <c r="F48" s="59">
        <f t="shared" si="6"/>
        <v>5405410</v>
      </c>
      <c r="G48" s="56">
        <v>1000.0</v>
      </c>
      <c r="H48" s="59">
        <f t="shared" si="1"/>
        <v>5405410</v>
      </c>
      <c r="I48" s="39"/>
      <c r="J48" s="39"/>
      <c r="K48" s="60">
        <f t="shared" si="2"/>
        <v>0</v>
      </c>
      <c r="L48" s="39"/>
      <c r="M48" s="59">
        <f t="shared" si="3"/>
        <v>0</v>
      </c>
      <c r="N48" s="69">
        <v>1000.0</v>
      </c>
      <c r="O48" s="62">
        <f t="shared" si="4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4">
        <v>41.0</v>
      </c>
      <c r="C49" s="56" t="s">
        <v>89</v>
      </c>
      <c r="D49" s="67">
        <v>10810.81</v>
      </c>
      <c r="E49" s="56">
        <v>200.0</v>
      </c>
      <c r="F49" s="59">
        <f t="shared" si="6"/>
        <v>2162162</v>
      </c>
      <c r="G49" s="56">
        <v>200.0</v>
      </c>
      <c r="H49" s="59">
        <f t="shared" si="1"/>
        <v>2162162</v>
      </c>
      <c r="I49" s="39"/>
      <c r="J49" s="39"/>
      <c r="K49" s="60">
        <f t="shared" si="2"/>
        <v>0</v>
      </c>
      <c r="L49" s="39"/>
      <c r="M49" s="59">
        <f t="shared" si="3"/>
        <v>0</v>
      </c>
      <c r="N49" s="69">
        <v>200.0</v>
      </c>
      <c r="O49" s="62">
        <f t="shared" si="4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4">
        <v>42.0</v>
      </c>
      <c r="C50" s="56" t="s">
        <v>90</v>
      </c>
      <c r="D50" s="67">
        <v>5405.41</v>
      </c>
      <c r="E50" s="56">
        <v>200.0</v>
      </c>
      <c r="F50" s="59">
        <f t="shared" si="6"/>
        <v>1081082</v>
      </c>
      <c r="G50" s="56">
        <v>200.0</v>
      </c>
      <c r="H50" s="59">
        <f t="shared" si="1"/>
        <v>1081082</v>
      </c>
      <c r="I50" s="39"/>
      <c r="J50" s="39"/>
      <c r="K50" s="60">
        <f t="shared" si="2"/>
        <v>0</v>
      </c>
      <c r="L50" s="39"/>
      <c r="M50" s="59">
        <f t="shared" si="3"/>
        <v>0</v>
      </c>
      <c r="N50" s="69">
        <v>200.0</v>
      </c>
      <c r="O50" s="62">
        <f t="shared" si="4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4">
        <v>43.0</v>
      </c>
      <c r="C51" s="56" t="s">
        <v>91</v>
      </c>
      <c r="D51" s="67">
        <v>5405.41</v>
      </c>
      <c r="E51" s="56">
        <v>350.0</v>
      </c>
      <c r="F51" s="59">
        <f t="shared" si="6"/>
        <v>1891893.5</v>
      </c>
      <c r="G51" s="56">
        <v>350.0</v>
      </c>
      <c r="H51" s="59">
        <f t="shared" si="1"/>
        <v>1891893.5</v>
      </c>
      <c r="I51" s="39"/>
      <c r="J51" s="39"/>
      <c r="K51" s="60">
        <f t="shared" si="2"/>
        <v>0</v>
      </c>
      <c r="L51" s="39"/>
      <c r="M51" s="59">
        <f t="shared" si="3"/>
        <v>0</v>
      </c>
      <c r="N51" s="69">
        <v>350.0</v>
      </c>
      <c r="O51" s="62">
        <f t="shared" si="4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4">
        <v>44.0</v>
      </c>
      <c r="C52" s="56" t="s">
        <v>92</v>
      </c>
      <c r="D52" s="67">
        <v>2702.7</v>
      </c>
      <c r="E52" s="56">
        <v>200.0</v>
      </c>
      <c r="F52" s="59">
        <f t="shared" si="6"/>
        <v>540540</v>
      </c>
      <c r="G52" s="56">
        <v>200.0</v>
      </c>
      <c r="H52" s="59">
        <f t="shared" si="1"/>
        <v>540540</v>
      </c>
      <c r="I52" s="39"/>
      <c r="J52" s="39"/>
      <c r="K52" s="60">
        <f t="shared" si="2"/>
        <v>0</v>
      </c>
      <c r="L52" s="39"/>
      <c r="M52" s="59">
        <f t="shared" si="3"/>
        <v>0</v>
      </c>
      <c r="N52" s="69">
        <v>200.0</v>
      </c>
      <c r="O52" s="62">
        <f t="shared" si="4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4">
        <v>45.0</v>
      </c>
      <c r="C53" s="56" t="s">
        <v>93</v>
      </c>
      <c r="D53" s="67">
        <v>2702.7</v>
      </c>
      <c r="E53" s="56">
        <v>200.0</v>
      </c>
      <c r="F53" s="59">
        <f t="shared" si="6"/>
        <v>540540</v>
      </c>
      <c r="G53" s="56">
        <v>200.0</v>
      </c>
      <c r="H53" s="59">
        <f t="shared" si="1"/>
        <v>540540</v>
      </c>
      <c r="I53" s="39"/>
      <c r="J53" s="39"/>
      <c r="K53" s="60">
        <f t="shared" si="2"/>
        <v>0</v>
      </c>
      <c r="L53" s="39"/>
      <c r="M53" s="59">
        <f t="shared" si="3"/>
        <v>0</v>
      </c>
      <c r="N53" s="69">
        <v>200.0</v>
      </c>
      <c r="O53" s="62">
        <f t="shared" si="4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4">
        <v>46.0</v>
      </c>
      <c r="C54" s="56" t="s">
        <v>94</v>
      </c>
      <c r="D54" s="67">
        <v>2702.7</v>
      </c>
      <c r="E54" s="56">
        <v>600.0</v>
      </c>
      <c r="F54" s="59">
        <f t="shared" si="6"/>
        <v>1621620</v>
      </c>
      <c r="G54" s="56">
        <v>600.0</v>
      </c>
      <c r="H54" s="59">
        <f t="shared" si="1"/>
        <v>1621620</v>
      </c>
      <c r="I54" s="39"/>
      <c r="J54" s="39"/>
      <c r="K54" s="60">
        <f t="shared" si="2"/>
        <v>0</v>
      </c>
      <c r="L54" s="39"/>
      <c r="M54" s="59">
        <f t="shared" si="3"/>
        <v>0</v>
      </c>
      <c r="N54" s="69">
        <v>600.0</v>
      </c>
      <c r="O54" s="62">
        <f t="shared" si="4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4">
        <v>47.0</v>
      </c>
      <c r="C55" s="56" t="s">
        <v>95</v>
      </c>
      <c r="D55" s="67">
        <v>2702.7</v>
      </c>
      <c r="E55" s="56">
        <v>200.0</v>
      </c>
      <c r="F55" s="59">
        <f t="shared" si="6"/>
        <v>540540</v>
      </c>
      <c r="G55" s="56">
        <v>200.0</v>
      </c>
      <c r="H55" s="59">
        <f t="shared" si="1"/>
        <v>540540</v>
      </c>
      <c r="I55" s="39"/>
      <c r="J55" s="39"/>
      <c r="K55" s="60">
        <f t="shared" si="2"/>
        <v>0</v>
      </c>
      <c r="L55" s="39"/>
      <c r="M55" s="59">
        <f t="shared" si="3"/>
        <v>0</v>
      </c>
      <c r="N55" s="69">
        <v>200.0</v>
      </c>
      <c r="O55" s="62">
        <f t="shared" si="4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4">
        <v>48.0</v>
      </c>
      <c r="C56" s="56" t="s">
        <v>96</v>
      </c>
      <c r="D56" s="67">
        <v>2702.7</v>
      </c>
      <c r="E56" s="56">
        <v>100.0</v>
      </c>
      <c r="F56" s="59">
        <f t="shared" si="6"/>
        <v>270270</v>
      </c>
      <c r="G56" s="56">
        <v>100.0</v>
      </c>
      <c r="H56" s="59">
        <f t="shared" si="1"/>
        <v>270270</v>
      </c>
      <c r="I56" s="39"/>
      <c r="J56" s="39"/>
      <c r="K56" s="60">
        <f t="shared" si="2"/>
        <v>0</v>
      </c>
      <c r="L56" s="39"/>
      <c r="M56" s="59">
        <f t="shared" si="3"/>
        <v>0</v>
      </c>
      <c r="N56" s="69">
        <v>100.0</v>
      </c>
      <c r="O56" s="62">
        <f t="shared" si="4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4">
        <v>49.0</v>
      </c>
      <c r="C57" s="56" t="s">
        <v>97</v>
      </c>
      <c r="D57" s="67">
        <v>2702.7</v>
      </c>
      <c r="E57" s="56">
        <v>200.0</v>
      </c>
      <c r="F57" s="59">
        <f t="shared" si="6"/>
        <v>540540</v>
      </c>
      <c r="G57" s="56">
        <v>200.0</v>
      </c>
      <c r="H57" s="59">
        <f t="shared" si="1"/>
        <v>540540</v>
      </c>
      <c r="I57" s="39"/>
      <c r="J57" s="39"/>
      <c r="K57" s="60">
        <f t="shared" si="2"/>
        <v>0</v>
      </c>
      <c r="L57" s="39"/>
      <c r="M57" s="59">
        <f t="shared" si="3"/>
        <v>0</v>
      </c>
      <c r="N57" s="69">
        <v>200.0</v>
      </c>
      <c r="O57" s="62">
        <f t="shared" si="4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4">
        <v>50.0</v>
      </c>
      <c r="C58" s="56" t="s">
        <v>98</v>
      </c>
      <c r="D58" s="67">
        <v>2252.25</v>
      </c>
      <c r="E58" s="56">
        <v>100.0</v>
      </c>
      <c r="F58" s="59">
        <f t="shared" si="6"/>
        <v>225225</v>
      </c>
      <c r="G58" s="56">
        <v>100.0</v>
      </c>
      <c r="H58" s="59">
        <f t="shared" si="1"/>
        <v>225225</v>
      </c>
      <c r="I58" s="39"/>
      <c r="J58" s="39"/>
      <c r="K58" s="60">
        <f t="shared" si="2"/>
        <v>0</v>
      </c>
      <c r="L58" s="39"/>
      <c r="M58" s="59">
        <f t="shared" si="3"/>
        <v>0</v>
      </c>
      <c r="N58" s="69">
        <v>100.0</v>
      </c>
      <c r="O58" s="62">
        <f t="shared" si="4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4">
        <v>51.0</v>
      </c>
      <c r="C59" s="56" t="s">
        <v>99</v>
      </c>
      <c r="D59" s="67">
        <v>2702.7</v>
      </c>
      <c r="E59" s="56">
        <v>500.0</v>
      </c>
      <c r="F59" s="59">
        <f t="shared" si="6"/>
        <v>1351350</v>
      </c>
      <c r="G59" s="56">
        <v>500.0</v>
      </c>
      <c r="H59" s="59">
        <f t="shared" si="1"/>
        <v>1351350</v>
      </c>
      <c r="I59" s="39"/>
      <c r="J59" s="39"/>
      <c r="K59" s="60">
        <f t="shared" si="2"/>
        <v>0</v>
      </c>
      <c r="L59" s="39"/>
      <c r="M59" s="59">
        <f t="shared" si="3"/>
        <v>0</v>
      </c>
      <c r="N59" s="69">
        <v>500.0</v>
      </c>
      <c r="O59" s="62">
        <f t="shared" si="4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4">
        <v>52.0</v>
      </c>
      <c r="C60" s="56" t="s">
        <v>100</v>
      </c>
      <c r="D60" s="67">
        <v>2702.7</v>
      </c>
      <c r="E60" s="56">
        <v>400.0</v>
      </c>
      <c r="F60" s="59">
        <f t="shared" si="6"/>
        <v>1081080</v>
      </c>
      <c r="G60" s="56">
        <v>400.0</v>
      </c>
      <c r="H60" s="59">
        <f t="shared" si="1"/>
        <v>1081080</v>
      </c>
      <c r="I60" s="39"/>
      <c r="J60" s="39"/>
      <c r="K60" s="60">
        <f t="shared" si="2"/>
        <v>0</v>
      </c>
      <c r="L60" s="39"/>
      <c r="M60" s="59">
        <f t="shared" si="3"/>
        <v>0</v>
      </c>
      <c r="N60" s="69">
        <v>400.0</v>
      </c>
      <c r="O60" s="62">
        <f t="shared" si="4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4">
        <v>53.0</v>
      </c>
      <c r="C61" s="56" t="s">
        <v>101</v>
      </c>
      <c r="D61" s="67">
        <v>2702.7</v>
      </c>
      <c r="E61" s="56">
        <v>487.0</v>
      </c>
      <c r="F61" s="59">
        <f t="shared" si="6"/>
        <v>1316214.9</v>
      </c>
      <c r="G61" s="56">
        <v>487.0</v>
      </c>
      <c r="H61" s="59">
        <f t="shared" si="1"/>
        <v>1316214.9</v>
      </c>
      <c r="I61" s="39"/>
      <c r="J61" s="39"/>
      <c r="K61" s="60">
        <f t="shared" si="2"/>
        <v>0</v>
      </c>
      <c r="L61" s="39"/>
      <c r="M61" s="59">
        <f t="shared" si="3"/>
        <v>0</v>
      </c>
      <c r="N61" s="69">
        <v>487.0</v>
      </c>
      <c r="O61" s="62">
        <f t="shared" si="4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4">
        <v>54.0</v>
      </c>
      <c r="C62" s="56" t="s">
        <v>102</v>
      </c>
      <c r="D62" s="67">
        <v>2702.7</v>
      </c>
      <c r="E62" s="56">
        <v>90.0</v>
      </c>
      <c r="F62" s="59">
        <f t="shared" si="6"/>
        <v>243243</v>
      </c>
      <c r="G62" s="56">
        <v>90.0</v>
      </c>
      <c r="H62" s="59">
        <f t="shared" si="1"/>
        <v>243243</v>
      </c>
      <c r="I62" s="39"/>
      <c r="J62" s="39"/>
      <c r="K62" s="60">
        <f t="shared" si="2"/>
        <v>0</v>
      </c>
      <c r="L62" s="39"/>
      <c r="M62" s="59">
        <f t="shared" si="3"/>
        <v>0</v>
      </c>
      <c r="N62" s="69">
        <v>90.0</v>
      </c>
      <c r="O62" s="62">
        <f t="shared" si="4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4">
        <v>55.0</v>
      </c>
      <c r="C63" s="56" t="s">
        <v>103</v>
      </c>
      <c r="D63" s="67">
        <v>2702.7</v>
      </c>
      <c r="E63" s="56">
        <v>90.0</v>
      </c>
      <c r="F63" s="59">
        <f t="shared" si="6"/>
        <v>243243</v>
      </c>
      <c r="G63" s="56">
        <v>90.0</v>
      </c>
      <c r="H63" s="59">
        <f t="shared" si="1"/>
        <v>243243</v>
      </c>
      <c r="I63" s="39"/>
      <c r="J63" s="39"/>
      <c r="K63" s="60">
        <f t="shared" si="2"/>
        <v>0</v>
      </c>
      <c r="L63" s="39"/>
      <c r="M63" s="59">
        <f t="shared" si="3"/>
        <v>0</v>
      </c>
      <c r="N63" s="69">
        <v>90.0</v>
      </c>
      <c r="O63" s="62">
        <f t="shared" si="4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4">
        <v>56.0</v>
      </c>
      <c r="C64" s="56" t="s">
        <v>104</v>
      </c>
      <c r="D64" s="67">
        <v>2702.7</v>
      </c>
      <c r="E64" s="56">
        <v>45.0</v>
      </c>
      <c r="F64" s="59">
        <f t="shared" si="6"/>
        <v>121621.5</v>
      </c>
      <c r="G64" s="56">
        <v>45.0</v>
      </c>
      <c r="H64" s="59">
        <f t="shared" si="1"/>
        <v>121621.5</v>
      </c>
      <c r="I64" s="39"/>
      <c r="J64" s="39"/>
      <c r="K64" s="60">
        <f t="shared" si="2"/>
        <v>0</v>
      </c>
      <c r="L64" s="39"/>
      <c r="M64" s="59">
        <f t="shared" si="3"/>
        <v>0</v>
      </c>
      <c r="N64" s="69">
        <v>45.0</v>
      </c>
      <c r="O64" s="62">
        <f t="shared" si="4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4">
        <v>57.0</v>
      </c>
      <c r="C65" s="56" t="s">
        <v>105</v>
      </c>
      <c r="D65" s="67">
        <v>2252.25</v>
      </c>
      <c r="E65" s="56">
        <v>100.0</v>
      </c>
      <c r="F65" s="59">
        <f t="shared" si="6"/>
        <v>225225</v>
      </c>
      <c r="G65" s="56">
        <v>100.0</v>
      </c>
      <c r="H65" s="59">
        <f t="shared" si="1"/>
        <v>225225</v>
      </c>
      <c r="I65" s="39"/>
      <c r="J65" s="39"/>
      <c r="K65" s="60">
        <f t="shared" si="2"/>
        <v>0</v>
      </c>
      <c r="L65" s="39"/>
      <c r="M65" s="59">
        <f t="shared" si="3"/>
        <v>0</v>
      </c>
      <c r="N65" s="69">
        <v>100.0</v>
      </c>
      <c r="O65" s="62">
        <f t="shared" si="4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4">
        <v>58.0</v>
      </c>
      <c r="C66" s="56" t="s">
        <v>106</v>
      </c>
      <c r="D66" s="67">
        <v>2252.25</v>
      </c>
      <c r="E66" s="56">
        <v>100.0</v>
      </c>
      <c r="F66" s="59">
        <f t="shared" si="6"/>
        <v>225225</v>
      </c>
      <c r="G66" s="56">
        <v>100.0</v>
      </c>
      <c r="H66" s="59">
        <f t="shared" si="1"/>
        <v>225225</v>
      </c>
      <c r="I66" s="39"/>
      <c r="J66" s="39"/>
      <c r="K66" s="60">
        <f t="shared" si="2"/>
        <v>0</v>
      </c>
      <c r="L66" s="39"/>
      <c r="M66" s="59">
        <f t="shared" si="3"/>
        <v>0</v>
      </c>
      <c r="N66" s="69">
        <v>100.0</v>
      </c>
      <c r="O66" s="62">
        <f t="shared" si="4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4">
        <v>59.0</v>
      </c>
      <c r="C67" s="56" t="s">
        <v>107</v>
      </c>
      <c r="D67" s="67">
        <v>5405.41</v>
      </c>
      <c r="E67" s="56">
        <v>826.5</v>
      </c>
      <c r="F67" s="59">
        <f t="shared" si="6"/>
        <v>4467571.365</v>
      </c>
      <c r="G67" s="56">
        <v>826.5</v>
      </c>
      <c r="H67" s="59">
        <f t="shared" si="1"/>
        <v>4467571.365</v>
      </c>
      <c r="I67" s="39"/>
      <c r="J67" s="39"/>
      <c r="K67" s="60">
        <f t="shared" si="2"/>
        <v>0</v>
      </c>
      <c r="L67" s="39"/>
      <c r="M67" s="59">
        <f t="shared" si="3"/>
        <v>0</v>
      </c>
      <c r="N67" s="69">
        <v>826.5</v>
      </c>
      <c r="O67" s="62">
        <f t="shared" si="4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4">
        <v>60.0</v>
      </c>
      <c r="C68" s="56" t="s">
        <v>108</v>
      </c>
      <c r="D68" s="67">
        <v>2702.7</v>
      </c>
      <c r="E68" s="56">
        <v>258.0</v>
      </c>
      <c r="F68" s="59">
        <f t="shared" si="6"/>
        <v>697296.6</v>
      </c>
      <c r="G68" s="56">
        <v>258.0</v>
      </c>
      <c r="H68" s="59">
        <f t="shared" si="1"/>
        <v>697296.6</v>
      </c>
      <c r="I68" s="39"/>
      <c r="J68" s="39"/>
      <c r="K68" s="60">
        <f t="shared" si="2"/>
        <v>0</v>
      </c>
      <c r="L68" s="39"/>
      <c r="M68" s="59">
        <f t="shared" si="3"/>
        <v>0</v>
      </c>
      <c r="N68" s="69">
        <v>258.0</v>
      </c>
      <c r="O68" s="62">
        <f t="shared" si="4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4">
        <v>61.0</v>
      </c>
      <c r="C69" s="56" t="s">
        <v>109</v>
      </c>
      <c r="D69" s="67">
        <v>2702.7</v>
      </c>
      <c r="E69" s="56">
        <v>21.3</v>
      </c>
      <c r="F69" s="59">
        <f t="shared" si="6"/>
        <v>57567.51</v>
      </c>
      <c r="G69" s="56">
        <v>21.3</v>
      </c>
      <c r="H69" s="59">
        <f t="shared" si="1"/>
        <v>57567.51</v>
      </c>
      <c r="I69" s="39"/>
      <c r="J69" s="39"/>
      <c r="K69" s="60">
        <f t="shared" si="2"/>
        <v>0</v>
      </c>
      <c r="L69" s="39"/>
      <c r="M69" s="59">
        <f t="shared" si="3"/>
        <v>0</v>
      </c>
      <c r="N69" s="69">
        <v>21.3</v>
      </c>
      <c r="O69" s="62">
        <f t="shared" si="4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4">
        <v>62.0</v>
      </c>
      <c r="C70" s="56" t="s">
        <v>110</v>
      </c>
      <c r="D70" s="67">
        <v>2702.7</v>
      </c>
      <c r="E70" s="56">
        <v>600.0</v>
      </c>
      <c r="F70" s="59">
        <f t="shared" si="6"/>
        <v>1621620</v>
      </c>
      <c r="G70" s="56">
        <v>600.0</v>
      </c>
      <c r="H70" s="59">
        <f t="shared" si="1"/>
        <v>1621620</v>
      </c>
      <c r="I70" s="39"/>
      <c r="J70" s="39"/>
      <c r="K70" s="60">
        <f t="shared" si="2"/>
        <v>0</v>
      </c>
      <c r="L70" s="39"/>
      <c r="M70" s="59">
        <f t="shared" si="3"/>
        <v>0</v>
      </c>
      <c r="N70" s="69">
        <v>600.0</v>
      </c>
      <c r="O70" s="62">
        <f t="shared" si="4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4">
        <v>63.0</v>
      </c>
      <c r="C71" s="56" t="s">
        <v>111</v>
      </c>
      <c r="D71" s="67">
        <v>5405.41</v>
      </c>
      <c r="E71" s="56">
        <v>42.0</v>
      </c>
      <c r="F71" s="59">
        <f t="shared" si="6"/>
        <v>227027.22</v>
      </c>
      <c r="G71" s="56">
        <v>42.0</v>
      </c>
      <c r="H71" s="59">
        <f t="shared" si="1"/>
        <v>227027.22</v>
      </c>
      <c r="I71" s="39"/>
      <c r="J71" s="39"/>
      <c r="K71" s="60">
        <f t="shared" si="2"/>
        <v>0</v>
      </c>
      <c r="L71" s="39"/>
      <c r="M71" s="59">
        <f t="shared" si="3"/>
        <v>0</v>
      </c>
      <c r="N71" s="69">
        <v>42.0</v>
      </c>
      <c r="O71" s="62">
        <f t="shared" si="4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4">
        <v>64.0</v>
      </c>
      <c r="C72" s="56" t="s">
        <v>112</v>
      </c>
      <c r="D72" s="67">
        <v>4504.5</v>
      </c>
      <c r="E72" s="56">
        <v>150.0</v>
      </c>
      <c r="F72" s="59">
        <f t="shared" si="6"/>
        <v>675675</v>
      </c>
      <c r="G72" s="56">
        <v>150.0</v>
      </c>
      <c r="H72" s="59">
        <f t="shared" si="1"/>
        <v>675675</v>
      </c>
      <c r="I72" s="39"/>
      <c r="J72" s="39"/>
      <c r="K72" s="60">
        <f t="shared" si="2"/>
        <v>0</v>
      </c>
      <c r="L72" s="39"/>
      <c r="M72" s="59">
        <f t="shared" si="3"/>
        <v>0</v>
      </c>
      <c r="N72" s="69">
        <v>150.0</v>
      </c>
      <c r="O72" s="62">
        <f t="shared" si="4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4">
        <v>65.0</v>
      </c>
      <c r="C73" s="56" t="s">
        <v>113</v>
      </c>
      <c r="D73" s="67">
        <v>5405.41</v>
      </c>
      <c r="E73" s="56">
        <v>50.0</v>
      </c>
      <c r="F73" s="59">
        <f t="shared" si="6"/>
        <v>270270.5</v>
      </c>
      <c r="G73" s="56">
        <v>50.0</v>
      </c>
      <c r="H73" s="59">
        <f t="shared" si="1"/>
        <v>270270.5</v>
      </c>
      <c r="I73" s="39"/>
      <c r="J73" s="39"/>
      <c r="K73" s="60">
        <f t="shared" si="2"/>
        <v>0</v>
      </c>
      <c r="L73" s="39"/>
      <c r="M73" s="59">
        <f t="shared" si="3"/>
        <v>0</v>
      </c>
      <c r="N73" s="69">
        <v>50.0</v>
      </c>
      <c r="O73" s="62">
        <f t="shared" si="4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4">
        <v>66.0</v>
      </c>
      <c r="C74" s="56" t="s">
        <v>114</v>
      </c>
      <c r="D74" s="67">
        <v>2702.7</v>
      </c>
      <c r="E74" s="56">
        <v>207.0</v>
      </c>
      <c r="F74" s="59">
        <f t="shared" si="6"/>
        <v>559458.9</v>
      </c>
      <c r="G74" s="56">
        <v>207.0</v>
      </c>
      <c r="H74" s="59">
        <f t="shared" si="1"/>
        <v>559458.9</v>
      </c>
      <c r="I74" s="39"/>
      <c r="J74" s="39"/>
      <c r="K74" s="60">
        <f t="shared" si="2"/>
        <v>0</v>
      </c>
      <c r="L74" s="39"/>
      <c r="M74" s="59">
        <f t="shared" si="3"/>
        <v>0</v>
      </c>
      <c r="N74" s="69">
        <v>207.0</v>
      </c>
      <c r="O74" s="62">
        <f t="shared" si="4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4">
        <v>67.0</v>
      </c>
      <c r="C75" s="56" t="s">
        <v>115</v>
      </c>
      <c r="D75" s="67">
        <v>2252.25</v>
      </c>
      <c r="E75" s="56">
        <v>143.0</v>
      </c>
      <c r="F75" s="59">
        <f t="shared" si="6"/>
        <v>322071.75</v>
      </c>
      <c r="G75" s="56">
        <v>143.0</v>
      </c>
      <c r="H75" s="59">
        <f t="shared" si="1"/>
        <v>322071.75</v>
      </c>
      <c r="I75" s="39"/>
      <c r="J75" s="39"/>
      <c r="K75" s="60">
        <f t="shared" si="2"/>
        <v>0</v>
      </c>
      <c r="L75" s="39"/>
      <c r="M75" s="59">
        <f t="shared" si="3"/>
        <v>0</v>
      </c>
      <c r="N75" s="69">
        <v>143.0</v>
      </c>
      <c r="O75" s="62">
        <f t="shared" si="4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4">
        <v>68.0</v>
      </c>
      <c r="C76" s="56" t="s">
        <v>116</v>
      </c>
      <c r="D76" s="67">
        <v>350000.0</v>
      </c>
      <c r="E76" s="56">
        <v>18.0</v>
      </c>
      <c r="F76" s="59">
        <f t="shared" si="6"/>
        <v>6300000</v>
      </c>
      <c r="G76" s="56">
        <v>18.0</v>
      </c>
      <c r="H76" s="59">
        <f t="shared" si="1"/>
        <v>6300000</v>
      </c>
      <c r="I76" s="39"/>
      <c r="J76" s="39"/>
      <c r="K76" s="60">
        <f t="shared" si="2"/>
        <v>0</v>
      </c>
      <c r="L76" s="39"/>
      <c r="M76" s="59">
        <f t="shared" si="3"/>
        <v>0</v>
      </c>
      <c r="N76" s="69">
        <v>18.0</v>
      </c>
      <c r="O76" s="62">
        <f t="shared" si="4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4">
        <v>69.0</v>
      </c>
      <c r="C77" s="56" t="s">
        <v>117</v>
      </c>
      <c r="D77" s="70"/>
      <c r="E77" s="56">
        <v>0.0</v>
      </c>
      <c r="F77" s="59">
        <f t="shared" si="6"/>
        <v>0</v>
      </c>
      <c r="G77" s="56">
        <v>0.0</v>
      </c>
      <c r="H77" s="59">
        <f t="shared" si="1"/>
        <v>0</v>
      </c>
      <c r="I77" s="39"/>
      <c r="J77" s="39"/>
      <c r="K77" s="60">
        <f t="shared" si="2"/>
        <v>0</v>
      </c>
      <c r="L77" s="39"/>
      <c r="M77" s="59">
        <f t="shared" si="3"/>
        <v>0</v>
      </c>
      <c r="N77" s="69">
        <v>0.0</v>
      </c>
      <c r="O77" s="62">
        <f t="shared" si="4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4">
        <v>70.0</v>
      </c>
      <c r="C78" s="56" t="s">
        <v>118</v>
      </c>
      <c r="D78" s="70"/>
      <c r="E78" s="56">
        <v>109.0</v>
      </c>
      <c r="F78" s="59">
        <f t="shared" si="6"/>
        <v>0</v>
      </c>
      <c r="G78" s="56">
        <v>109.0</v>
      </c>
      <c r="H78" s="59">
        <f t="shared" si="1"/>
        <v>0</v>
      </c>
      <c r="I78" s="39"/>
      <c r="J78" s="39"/>
      <c r="K78" s="60">
        <f t="shared" si="2"/>
        <v>0</v>
      </c>
      <c r="L78" s="39"/>
      <c r="M78" s="59">
        <f t="shared" si="3"/>
        <v>0</v>
      </c>
      <c r="N78" s="69">
        <v>109.0</v>
      </c>
      <c r="O78" s="62">
        <f t="shared" si="4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4">
        <v>71.0</v>
      </c>
      <c r="C79" s="56" t="s">
        <v>119</v>
      </c>
      <c r="D79" s="67">
        <v>606160.0</v>
      </c>
      <c r="E79" s="56">
        <v>11.0</v>
      </c>
      <c r="F79" s="59">
        <f t="shared" si="6"/>
        <v>6667760</v>
      </c>
      <c r="G79" s="56">
        <v>11.0</v>
      </c>
      <c r="H79" s="59">
        <f t="shared" si="1"/>
        <v>6667760</v>
      </c>
      <c r="I79" s="39"/>
      <c r="J79" s="39"/>
      <c r="K79" s="60">
        <f t="shared" si="2"/>
        <v>0</v>
      </c>
      <c r="L79" s="39"/>
      <c r="M79" s="59">
        <f t="shared" si="3"/>
        <v>0</v>
      </c>
      <c r="N79" s="69">
        <v>11.0</v>
      </c>
      <c r="O79" s="62">
        <f t="shared" si="4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4">
        <v>72.0</v>
      </c>
      <c r="C80" s="56" t="s">
        <v>120</v>
      </c>
      <c r="D80" s="67">
        <v>2702.7</v>
      </c>
      <c r="E80" s="56">
        <v>16.5</v>
      </c>
      <c r="F80" s="59">
        <f t="shared" si="6"/>
        <v>44594.55</v>
      </c>
      <c r="G80" s="56">
        <v>16.5</v>
      </c>
      <c r="H80" s="59">
        <f t="shared" si="1"/>
        <v>44594.55</v>
      </c>
      <c r="I80" s="39"/>
      <c r="J80" s="39"/>
      <c r="K80" s="60">
        <f t="shared" si="2"/>
        <v>0</v>
      </c>
      <c r="L80" s="39"/>
      <c r="M80" s="59">
        <f t="shared" si="3"/>
        <v>0</v>
      </c>
      <c r="N80" s="69">
        <v>16.5</v>
      </c>
      <c r="O80" s="62">
        <f t="shared" si="4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4">
        <v>73.0</v>
      </c>
      <c r="C81" s="56" t="s">
        <v>121</v>
      </c>
      <c r="D81" s="67">
        <v>1045000.0</v>
      </c>
      <c r="E81" s="56">
        <v>2.0</v>
      </c>
      <c r="F81" s="59">
        <f t="shared" si="6"/>
        <v>2090000</v>
      </c>
      <c r="G81" s="56">
        <v>2.0</v>
      </c>
      <c r="H81" s="59">
        <f t="shared" si="1"/>
        <v>2090000</v>
      </c>
      <c r="I81" s="39"/>
      <c r="J81" s="39"/>
      <c r="K81" s="60">
        <f t="shared" si="2"/>
        <v>0</v>
      </c>
      <c r="L81" s="39"/>
      <c r="M81" s="59">
        <f t="shared" si="3"/>
        <v>0</v>
      </c>
      <c r="N81" s="69">
        <v>2.0</v>
      </c>
      <c r="O81" s="62">
        <f t="shared" si="4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4">
        <v>74.0</v>
      </c>
      <c r="C82" s="56" t="s">
        <v>122</v>
      </c>
      <c r="D82" s="70"/>
      <c r="E82" s="56">
        <v>0.0</v>
      </c>
      <c r="F82" s="59">
        <f t="shared" si="6"/>
        <v>0</v>
      </c>
      <c r="G82" s="56">
        <v>0.0</v>
      </c>
      <c r="H82" s="59">
        <f t="shared" si="1"/>
        <v>0</v>
      </c>
      <c r="I82" s="39"/>
      <c r="J82" s="39"/>
      <c r="K82" s="60">
        <f t="shared" si="2"/>
        <v>0</v>
      </c>
      <c r="L82" s="39"/>
      <c r="M82" s="59">
        <f t="shared" si="3"/>
        <v>0</v>
      </c>
      <c r="N82" s="69">
        <v>0.0</v>
      </c>
      <c r="O82" s="62">
        <f t="shared" si="4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4">
        <v>75.0</v>
      </c>
      <c r="C83" s="56" t="s">
        <v>123</v>
      </c>
      <c r="D83" s="67">
        <v>180162.16</v>
      </c>
      <c r="E83" s="56">
        <v>13.0</v>
      </c>
      <c r="F83" s="59">
        <f t="shared" si="6"/>
        <v>2342108.08</v>
      </c>
      <c r="G83" s="56">
        <v>13.0</v>
      </c>
      <c r="H83" s="59">
        <f t="shared" si="1"/>
        <v>2342108.08</v>
      </c>
      <c r="I83" s="39"/>
      <c r="J83" s="39"/>
      <c r="K83" s="60">
        <f t="shared" si="2"/>
        <v>0</v>
      </c>
      <c r="L83" s="39"/>
      <c r="M83" s="59">
        <f t="shared" si="3"/>
        <v>0</v>
      </c>
      <c r="N83" s="69">
        <v>13.0</v>
      </c>
      <c r="O83" s="62">
        <f t="shared" si="4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4">
        <v>76.0</v>
      </c>
      <c r="C84" s="56" t="s">
        <v>124</v>
      </c>
      <c r="D84" s="67">
        <v>131081.08</v>
      </c>
      <c r="E84" s="56">
        <v>1.0</v>
      </c>
      <c r="F84" s="59">
        <f t="shared" si="6"/>
        <v>131081.08</v>
      </c>
      <c r="G84" s="56">
        <v>1.0</v>
      </c>
      <c r="H84" s="59">
        <f t="shared" si="1"/>
        <v>131081.08</v>
      </c>
      <c r="I84" s="39"/>
      <c r="J84" s="39"/>
      <c r="K84" s="60">
        <f t="shared" si="2"/>
        <v>0</v>
      </c>
      <c r="L84" s="39"/>
      <c r="M84" s="59">
        <f t="shared" si="3"/>
        <v>0</v>
      </c>
      <c r="N84" s="69">
        <v>1.0</v>
      </c>
      <c r="O84" s="62">
        <f t="shared" si="4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4">
        <v>77.0</v>
      </c>
      <c r="C85" s="56" t="s">
        <v>125</v>
      </c>
      <c r="D85" s="67">
        <v>133783.78</v>
      </c>
      <c r="E85" s="56">
        <v>3.3</v>
      </c>
      <c r="F85" s="59">
        <f t="shared" si="6"/>
        <v>441486.474</v>
      </c>
      <c r="G85" s="56">
        <v>3.3</v>
      </c>
      <c r="H85" s="59">
        <f t="shared" si="1"/>
        <v>441486.474</v>
      </c>
      <c r="I85" s="39"/>
      <c r="J85" s="39"/>
      <c r="K85" s="60">
        <f t="shared" si="2"/>
        <v>0</v>
      </c>
      <c r="L85" s="39"/>
      <c r="M85" s="59">
        <f t="shared" si="3"/>
        <v>0</v>
      </c>
      <c r="N85" s="69">
        <v>3.3</v>
      </c>
      <c r="O85" s="62">
        <f t="shared" si="4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4">
        <v>78.0</v>
      </c>
      <c r="C86" s="56" t="s">
        <v>126</v>
      </c>
      <c r="D86" s="67">
        <v>2702.7</v>
      </c>
      <c r="E86" s="56">
        <v>279.3</v>
      </c>
      <c r="F86" s="59">
        <f t="shared" si="6"/>
        <v>754864.11</v>
      </c>
      <c r="G86" s="56">
        <v>279.3</v>
      </c>
      <c r="H86" s="59">
        <f t="shared" si="1"/>
        <v>754864.11</v>
      </c>
      <c r="I86" s="39"/>
      <c r="J86" s="39"/>
      <c r="K86" s="60">
        <f t="shared" si="2"/>
        <v>0</v>
      </c>
      <c r="L86" s="39"/>
      <c r="M86" s="59">
        <f t="shared" si="3"/>
        <v>0</v>
      </c>
      <c r="N86" s="69">
        <v>279.3</v>
      </c>
      <c r="O86" s="62">
        <f t="shared" si="4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4">
        <v>79.0</v>
      </c>
      <c r="C87" s="56" t="s">
        <v>127</v>
      </c>
      <c r="D87" s="67">
        <v>2702.7</v>
      </c>
      <c r="E87" s="56">
        <v>100.0</v>
      </c>
      <c r="F87" s="59">
        <f t="shared" si="6"/>
        <v>270270</v>
      </c>
      <c r="G87" s="56">
        <v>100.0</v>
      </c>
      <c r="H87" s="59">
        <f t="shared" si="1"/>
        <v>270270</v>
      </c>
      <c r="I87" s="39"/>
      <c r="J87" s="39"/>
      <c r="K87" s="60">
        <f t="shared" si="2"/>
        <v>0</v>
      </c>
      <c r="L87" s="39"/>
      <c r="M87" s="59">
        <f t="shared" si="3"/>
        <v>0</v>
      </c>
      <c r="N87" s="69">
        <v>100.0</v>
      </c>
      <c r="O87" s="62">
        <f t="shared" si="4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4">
        <v>80.0</v>
      </c>
      <c r="C88" s="56" t="s">
        <v>128</v>
      </c>
      <c r="D88" s="67">
        <v>169905.41</v>
      </c>
      <c r="E88" s="56">
        <v>9.0</v>
      </c>
      <c r="F88" s="59">
        <f t="shared" si="6"/>
        <v>1529148.69</v>
      </c>
      <c r="G88" s="56">
        <v>9.0</v>
      </c>
      <c r="H88" s="59">
        <f t="shared" si="1"/>
        <v>1529148.69</v>
      </c>
      <c r="I88" s="39"/>
      <c r="J88" s="39"/>
      <c r="K88" s="60">
        <f t="shared" si="2"/>
        <v>0</v>
      </c>
      <c r="L88" s="39"/>
      <c r="M88" s="59">
        <f t="shared" si="3"/>
        <v>0</v>
      </c>
      <c r="N88" s="69">
        <v>9.0</v>
      </c>
      <c r="O88" s="62">
        <f t="shared" si="4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4">
        <v>81.0</v>
      </c>
      <c r="C89" s="56" t="s">
        <v>129</v>
      </c>
      <c r="D89" s="70"/>
      <c r="E89" s="56">
        <v>5.0</v>
      </c>
      <c r="F89" s="59">
        <f t="shared" si="6"/>
        <v>0</v>
      </c>
      <c r="G89" s="56">
        <v>5.0</v>
      </c>
      <c r="H89" s="59">
        <f t="shared" si="1"/>
        <v>0</v>
      </c>
      <c r="I89" s="39"/>
      <c r="J89" s="39"/>
      <c r="K89" s="60">
        <f t="shared" si="2"/>
        <v>0</v>
      </c>
      <c r="L89" s="39"/>
      <c r="M89" s="59">
        <f t="shared" si="3"/>
        <v>0</v>
      </c>
      <c r="N89" s="69">
        <v>5.0</v>
      </c>
      <c r="O89" s="62">
        <f t="shared" si="4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4">
        <v>82.0</v>
      </c>
      <c r="C90" s="56" t="s">
        <v>130</v>
      </c>
      <c r="D90" s="67">
        <v>2702.7</v>
      </c>
      <c r="E90" s="56">
        <v>175.0</v>
      </c>
      <c r="F90" s="59">
        <f t="shared" si="6"/>
        <v>472972.5</v>
      </c>
      <c r="G90" s="56">
        <v>175.0</v>
      </c>
      <c r="H90" s="59">
        <f t="shared" si="1"/>
        <v>472972.5</v>
      </c>
      <c r="I90" s="39"/>
      <c r="J90" s="39"/>
      <c r="K90" s="60">
        <f t="shared" si="2"/>
        <v>0</v>
      </c>
      <c r="L90" s="39"/>
      <c r="M90" s="59">
        <f t="shared" si="3"/>
        <v>0</v>
      </c>
      <c r="N90" s="69">
        <v>175.0</v>
      </c>
      <c r="O90" s="62">
        <f t="shared" si="4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4">
        <v>83.0</v>
      </c>
      <c r="C91" s="56" t="s">
        <v>131</v>
      </c>
      <c r="D91" s="67">
        <v>137462.84</v>
      </c>
      <c r="E91" s="56">
        <v>44.0</v>
      </c>
      <c r="F91" s="59">
        <f t="shared" si="6"/>
        <v>6048364.96</v>
      </c>
      <c r="G91" s="56">
        <v>44.0</v>
      </c>
      <c r="H91" s="59">
        <f t="shared" si="1"/>
        <v>6048364.96</v>
      </c>
      <c r="I91" s="39"/>
      <c r="J91" s="39"/>
      <c r="K91" s="60">
        <f t="shared" si="2"/>
        <v>0</v>
      </c>
      <c r="L91" s="39"/>
      <c r="M91" s="59">
        <f t="shared" si="3"/>
        <v>0</v>
      </c>
      <c r="N91" s="69">
        <v>44.0</v>
      </c>
      <c r="O91" s="62">
        <f t="shared" si="4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4">
        <v>84.0</v>
      </c>
      <c r="C92" s="56" t="s">
        <v>132</v>
      </c>
      <c r="D92" s="67">
        <v>7500000.0</v>
      </c>
      <c r="E92" s="56">
        <v>8.19</v>
      </c>
      <c r="F92" s="59">
        <f t="shared" si="6"/>
        <v>61425000</v>
      </c>
      <c r="G92" s="56">
        <v>8.19</v>
      </c>
      <c r="H92" s="59">
        <f t="shared" si="1"/>
        <v>61425000</v>
      </c>
      <c r="I92" s="39"/>
      <c r="J92" s="39"/>
      <c r="K92" s="60">
        <f t="shared" si="2"/>
        <v>0</v>
      </c>
      <c r="L92" s="39"/>
      <c r="M92" s="59">
        <f t="shared" si="3"/>
        <v>0</v>
      </c>
      <c r="N92" s="71"/>
      <c r="O92" s="62">
        <f t="shared" si="4"/>
        <v>-8.19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4">
        <v>85.0</v>
      </c>
      <c r="C93" s="56" t="s">
        <v>133</v>
      </c>
      <c r="D93" s="67">
        <v>1045000.0</v>
      </c>
      <c r="E93" s="56">
        <v>0.0</v>
      </c>
      <c r="F93" s="59">
        <f t="shared" si="6"/>
        <v>0</v>
      </c>
      <c r="G93" s="56">
        <v>0.0</v>
      </c>
      <c r="H93" s="59">
        <f t="shared" si="1"/>
        <v>0</v>
      </c>
      <c r="I93" s="39"/>
      <c r="J93" s="39"/>
      <c r="K93" s="60">
        <f t="shared" si="2"/>
        <v>0</v>
      </c>
      <c r="L93" s="39"/>
      <c r="M93" s="59">
        <f t="shared" si="3"/>
        <v>0</v>
      </c>
      <c r="N93" s="69">
        <v>0.09999999999999998</v>
      </c>
      <c r="O93" s="62">
        <f t="shared" si="4"/>
        <v>0.1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4">
        <v>86.0</v>
      </c>
      <c r="C94" s="56" t="s">
        <v>134</v>
      </c>
      <c r="D94" s="67">
        <v>2252.25</v>
      </c>
      <c r="E94" s="56">
        <v>50.0</v>
      </c>
      <c r="F94" s="59">
        <f t="shared" si="6"/>
        <v>112612.5</v>
      </c>
      <c r="G94" s="56">
        <v>50.0</v>
      </c>
      <c r="H94" s="59">
        <f t="shared" si="1"/>
        <v>112612.5</v>
      </c>
      <c r="I94" s="39"/>
      <c r="J94" s="39"/>
      <c r="K94" s="60">
        <f t="shared" si="2"/>
        <v>0</v>
      </c>
      <c r="L94" s="39"/>
      <c r="M94" s="59">
        <f t="shared" si="3"/>
        <v>0</v>
      </c>
      <c r="N94" s="69">
        <v>50.0</v>
      </c>
      <c r="O94" s="62">
        <f t="shared" si="4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4">
        <v>87.0</v>
      </c>
      <c r="C95" s="56" t="s">
        <v>135</v>
      </c>
      <c r="D95" s="67">
        <v>4504.5</v>
      </c>
      <c r="E95" s="56">
        <v>50.0</v>
      </c>
      <c r="F95" s="59">
        <f t="shared" si="6"/>
        <v>225225</v>
      </c>
      <c r="G95" s="56">
        <v>50.0</v>
      </c>
      <c r="H95" s="59">
        <f t="shared" si="1"/>
        <v>225225</v>
      </c>
      <c r="I95" s="39"/>
      <c r="J95" s="39"/>
      <c r="K95" s="60">
        <f t="shared" si="2"/>
        <v>0</v>
      </c>
      <c r="L95" s="39"/>
      <c r="M95" s="59">
        <f t="shared" si="3"/>
        <v>0</v>
      </c>
      <c r="N95" s="69">
        <v>50.0</v>
      </c>
      <c r="O95" s="62">
        <f t="shared" si="4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4">
        <v>88.0</v>
      </c>
      <c r="C96" s="56" t="s">
        <v>136</v>
      </c>
      <c r="D96" s="67">
        <v>2252.25</v>
      </c>
      <c r="E96" s="56">
        <v>16.85</v>
      </c>
      <c r="F96" s="59">
        <f t="shared" si="6"/>
        <v>37950.4125</v>
      </c>
      <c r="G96" s="56">
        <v>16.85</v>
      </c>
      <c r="H96" s="59">
        <f t="shared" si="1"/>
        <v>37950.4125</v>
      </c>
      <c r="I96" s="39"/>
      <c r="J96" s="39"/>
      <c r="K96" s="60">
        <f t="shared" si="2"/>
        <v>0</v>
      </c>
      <c r="L96" s="39"/>
      <c r="M96" s="59">
        <f t="shared" si="3"/>
        <v>0</v>
      </c>
      <c r="N96" s="69">
        <v>16.85</v>
      </c>
      <c r="O96" s="62">
        <f t="shared" si="4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4">
        <v>89.0</v>
      </c>
      <c r="C97" s="56" t="s">
        <v>137</v>
      </c>
      <c r="D97" s="67">
        <v>2252.25</v>
      </c>
      <c r="E97" s="56">
        <v>20.9</v>
      </c>
      <c r="F97" s="59">
        <f t="shared" si="6"/>
        <v>47072.025</v>
      </c>
      <c r="G97" s="56">
        <v>20.9</v>
      </c>
      <c r="H97" s="59">
        <f t="shared" si="1"/>
        <v>47072.025</v>
      </c>
      <c r="I97" s="39"/>
      <c r="J97" s="39"/>
      <c r="K97" s="60">
        <f t="shared" si="2"/>
        <v>0</v>
      </c>
      <c r="L97" s="39"/>
      <c r="M97" s="59">
        <f t="shared" si="3"/>
        <v>0</v>
      </c>
      <c r="N97" s="69">
        <v>20.9</v>
      </c>
      <c r="O97" s="62">
        <f t="shared" si="4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4">
        <v>90.0</v>
      </c>
      <c r="C98" s="56" t="s">
        <v>138</v>
      </c>
      <c r="D98" s="67">
        <v>2702.7</v>
      </c>
      <c r="E98" s="56">
        <v>3265.0</v>
      </c>
      <c r="F98" s="59">
        <f t="shared" si="6"/>
        <v>8824315.5</v>
      </c>
      <c r="G98" s="56">
        <v>3265.0</v>
      </c>
      <c r="H98" s="59">
        <f t="shared" si="1"/>
        <v>8824315.5</v>
      </c>
      <c r="I98" s="39"/>
      <c r="J98" s="39"/>
      <c r="K98" s="60">
        <f t="shared" si="2"/>
        <v>0</v>
      </c>
      <c r="L98" s="39"/>
      <c r="M98" s="59">
        <f t="shared" si="3"/>
        <v>0</v>
      </c>
      <c r="N98" s="69">
        <v>3265.0</v>
      </c>
      <c r="O98" s="62">
        <f t="shared" si="4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4">
        <v>91.0</v>
      </c>
      <c r="C99" s="56" t="s">
        <v>139</v>
      </c>
      <c r="D99" s="67">
        <v>2702.7</v>
      </c>
      <c r="E99" s="56">
        <v>100.0</v>
      </c>
      <c r="F99" s="59">
        <f t="shared" si="6"/>
        <v>270270</v>
      </c>
      <c r="G99" s="56">
        <v>100.0</v>
      </c>
      <c r="H99" s="59">
        <f t="shared" si="1"/>
        <v>270270</v>
      </c>
      <c r="I99" s="39"/>
      <c r="J99" s="39"/>
      <c r="K99" s="60">
        <f t="shared" si="2"/>
        <v>0</v>
      </c>
      <c r="L99" s="39"/>
      <c r="M99" s="59">
        <f t="shared" si="3"/>
        <v>0</v>
      </c>
      <c r="N99" s="69">
        <v>100.0</v>
      </c>
      <c r="O99" s="62">
        <f t="shared" si="4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4">
        <v>92.0</v>
      </c>
      <c r="C100" s="56" t="s">
        <v>140</v>
      </c>
      <c r="D100" s="70"/>
      <c r="E100" s="56">
        <v>630.0</v>
      </c>
      <c r="F100" s="59">
        <f t="shared" si="6"/>
        <v>0</v>
      </c>
      <c r="G100" s="56">
        <v>630.0</v>
      </c>
      <c r="H100" s="59">
        <f t="shared" si="1"/>
        <v>0</v>
      </c>
      <c r="I100" s="39"/>
      <c r="J100" s="39"/>
      <c r="K100" s="60">
        <f t="shared" si="2"/>
        <v>0</v>
      </c>
      <c r="L100" s="39"/>
      <c r="M100" s="59">
        <f t="shared" si="3"/>
        <v>0</v>
      </c>
      <c r="N100" s="69">
        <v>630.0</v>
      </c>
      <c r="O100" s="62">
        <f t="shared" si="4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4">
        <v>93.0</v>
      </c>
      <c r="C101" s="56" t="s">
        <v>141</v>
      </c>
      <c r="D101" s="67">
        <v>568320.0</v>
      </c>
      <c r="E101" s="56">
        <v>4.0</v>
      </c>
      <c r="F101" s="59">
        <f t="shared" si="6"/>
        <v>2273280</v>
      </c>
      <c r="G101" s="56">
        <v>4.0</v>
      </c>
      <c r="H101" s="59">
        <f t="shared" si="1"/>
        <v>2273280</v>
      </c>
      <c r="I101" s="39"/>
      <c r="J101" s="39"/>
      <c r="K101" s="60">
        <f t="shared" si="2"/>
        <v>0</v>
      </c>
      <c r="L101" s="39"/>
      <c r="M101" s="59">
        <f t="shared" si="3"/>
        <v>0</v>
      </c>
      <c r="N101" s="69">
        <v>4.0</v>
      </c>
      <c r="O101" s="62">
        <f t="shared" si="4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4">
        <v>94.0</v>
      </c>
      <c r="C102" s="56" t="s">
        <v>142</v>
      </c>
      <c r="D102" s="70"/>
      <c r="E102" s="56">
        <v>0.0</v>
      </c>
      <c r="F102" s="59">
        <f t="shared" si="6"/>
        <v>0</v>
      </c>
      <c r="G102" s="56">
        <v>0.0</v>
      </c>
      <c r="H102" s="59">
        <f t="shared" si="1"/>
        <v>0</v>
      </c>
      <c r="I102" s="39"/>
      <c r="J102" s="39"/>
      <c r="K102" s="60">
        <f t="shared" si="2"/>
        <v>0</v>
      </c>
      <c r="L102" s="39"/>
      <c r="M102" s="59">
        <f t="shared" si="3"/>
        <v>0</v>
      </c>
      <c r="N102" s="69">
        <v>0.0</v>
      </c>
      <c r="O102" s="62">
        <f t="shared" si="4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4">
        <v>95.0</v>
      </c>
      <c r="C103" s="56" t="s">
        <v>143</v>
      </c>
      <c r="D103" s="70"/>
      <c r="E103" s="56">
        <v>4.0</v>
      </c>
      <c r="F103" s="59">
        <f t="shared" si="6"/>
        <v>0</v>
      </c>
      <c r="G103" s="56">
        <v>4.0</v>
      </c>
      <c r="H103" s="59">
        <f t="shared" si="1"/>
        <v>0</v>
      </c>
      <c r="I103" s="39"/>
      <c r="J103" s="39"/>
      <c r="K103" s="60">
        <f t="shared" si="2"/>
        <v>0</v>
      </c>
      <c r="L103" s="39"/>
      <c r="M103" s="59">
        <f t="shared" si="3"/>
        <v>0</v>
      </c>
      <c r="N103" s="69">
        <v>4.0</v>
      </c>
      <c r="O103" s="62">
        <f t="shared" si="4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4">
        <v>96.0</v>
      </c>
      <c r="C104" s="56" t="s">
        <v>144</v>
      </c>
      <c r="D104" s="67">
        <v>3500.0</v>
      </c>
      <c r="E104" s="56">
        <v>50.0</v>
      </c>
      <c r="F104" s="59">
        <f t="shared" si="6"/>
        <v>175000</v>
      </c>
      <c r="G104" s="56">
        <v>50.0</v>
      </c>
      <c r="H104" s="59">
        <f t="shared" si="1"/>
        <v>175000</v>
      </c>
      <c r="I104" s="39"/>
      <c r="J104" s="39"/>
      <c r="K104" s="60">
        <f t="shared" si="2"/>
        <v>0</v>
      </c>
      <c r="L104" s="39"/>
      <c r="M104" s="59">
        <f t="shared" si="3"/>
        <v>0</v>
      </c>
      <c r="N104" s="61">
        <v>50.0</v>
      </c>
      <c r="O104" s="62">
        <f t="shared" si="4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4">
        <v>97.0</v>
      </c>
      <c r="C105" s="56" t="s">
        <v>145</v>
      </c>
      <c r="D105" s="70"/>
      <c r="E105" s="56">
        <v>1.0</v>
      </c>
      <c r="F105" s="59">
        <f t="shared" si="6"/>
        <v>0</v>
      </c>
      <c r="G105" s="56">
        <v>1.0</v>
      </c>
      <c r="H105" s="59">
        <f t="shared" si="1"/>
        <v>0</v>
      </c>
      <c r="I105" s="39"/>
      <c r="J105" s="39"/>
      <c r="K105" s="60">
        <f t="shared" si="2"/>
        <v>0</v>
      </c>
      <c r="L105" s="39"/>
      <c r="M105" s="59">
        <f t="shared" si="3"/>
        <v>0</v>
      </c>
      <c r="N105" s="61">
        <v>1.0</v>
      </c>
      <c r="O105" s="62">
        <f t="shared" si="4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4">
        <v>98.0</v>
      </c>
      <c r="C106" s="56" t="s">
        <v>146</v>
      </c>
      <c r="D106" s="67">
        <v>1029.6</v>
      </c>
      <c r="E106" s="56">
        <v>165.0</v>
      </c>
      <c r="F106" s="59">
        <f t="shared" si="6"/>
        <v>169884</v>
      </c>
      <c r="G106" s="56">
        <v>165.0</v>
      </c>
      <c r="H106" s="59">
        <f t="shared" si="1"/>
        <v>169884</v>
      </c>
      <c r="I106" s="39"/>
      <c r="J106" s="39"/>
      <c r="K106" s="60">
        <f t="shared" si="2"/>
        <v>0</v>
      </c>
      <c r="L106" s="39"/>
      <c r="M106" s="59">
        <f t="shared" si="3"/>
        <v>0</v>
      </c>
      <c r="N106" s="61">
        <v>165.0</v>
      </c>
      <c r="O106" s="62">
        <f t="shared" si="4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4">
        <v>99.0</v>
      </c>
      <c r="C107" s="56" t="s">
        <v>147</v>
      </c>
      <c r="D107" s="67">
        <v>3500.0</v>
      </c>
      <c r="E107" s="56">
        <v>10.0</v>
      </c>
      <c r="F107" s="59">
        <f t="shared" si="6"/>
        <v>35000</v>
      </c>
      <c r="G107" s="56">
        <v>10.0</v>
      </c>
      <c r="H107" s="59">
        <f t="shared" si="1"/>
        <v>35000</v>
      </c>
      <c r="I107" s="39"/>
      <c r="J107" s="39"/>
      <c r="K107" s="60">
        <f t="shared" si="2"/>
        <v>0</v>
      </c>
      <c r="L107" s="39"/>
      <c r="M107" s="59">
        <f t="shared" si="3"/>
        <v>0</v>
      </c>
      <c r="N107" s="61">
        <v>10.0</v>
      </c>
      <c r="O107" s="62">
        <f t="shared" si="4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4">
        <v>100.0</v>
      </c>
      <c r="C108" s="56" t="s">
        <v>148</v>
      </c>
      <c r="D108" s="67">
        <v>542.86</v>
      </c>
      <c r="E108" s="56">
        <v>344.0</v>
      </c>
      <c r="F108" s="59">
        <f t="shared" si="6"/>
        <v>186743.84</v>
      </c>
      <c r="G108" s="56">
        <v>344.0</v>
      </c>
      <c r="H108" s="59">
        <f t="shared" si="1"/>
        <v>186743.84</v>
      </c>
      <c r="I108" s="39"/>
      <c r="J108" s="39"/>
      <c r="K108" s="60">
        <f t="shared" si="2"/>
        <v>0</v>
      </c>
      <c r="L108" s="39"/>
      <c r="M108" s="59">
        <f t="shared" si="3"/>
        <v>0</v>
      </c>
      <c r="N108" s="61">
        <v>344.0</v>
      </c>
      <c r="O108" s="62">
        <f t="shared" si="4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4">
        <v>101.0</v>
      </c>
      <c r="C109" s="56" t="s">
        <v>149</v>
      </c>
      <c r="D109" s="67">
        <v>21621.62</v>
      </c>
      <c r="E109" s="56">
        <v>69.0</v>
      </c>
      <c r="F109" s="59">
        <f t="shared" si="6"/>
        <v>1491891.78</v>
      </c>
      <c r="G109" s="56">
        <v>69.0</v>
      </c>
      <c r="H109" s="59">
        <f t="shared" si="1"/>
        <v>1491891.78</v>
      </c>
      <c r="I109" s="39"/>
      <c r="J109" s="39"/>
      <c r="K109" s="60">
        <f t="shared" si="2"/>
        <v>0</v>
      </c>
      <c r="L109" s="39"/>
      <c r="M109" s="59">
        <f t="shared" si="3"/>
        <v>0</v>
      </c>
      <c r="N109" s="61">
        <v>69.0</v>
      </c>
      <c r="O109" s="62">
        <f t="shared" si="4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4">
        <v>102.0</v>
      </c>
      <c r="C110" s="56" t="s">
        <v>150</v>
      </c>
      <c r="D110" s="67">
        <v>9717.12</v>
      </c>
      <c r="E110" s="56">
        <v>153.0</v>
      </c>
      <c r="F110" s="59">
        <f t="shared" si="6"/>
        <v>1486719.36</v>
      </c>
      <c r="G110" s="56">
        <v>153.0</v>
      </c>
      <c r="H110" s="59">
        <f t="shared" si="1"/>
        <v>1486719.36</v>
      </c>
      <c r="I110" s="39"/>
      <c r="J110" s="39"/>
      <c r="K110" s="60">
        <f t="shared" si="2"/>
        <v>0</v>
      </c>
      <c r="L110" s="39"/>
      <c r="M110" s="59">
        <f t="shared" si="3"/>
        <v>0</v>
      </c>
      <c r="N110" s="61">
        <v>153.0</v>
      </c>
      <c r="O110" s="62">
        <f t="shared" si="4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4">
        <v>103.0</v>
      </c>
      <c r="C111" s="56" t="s">
        <v>151</v>
      </c>
      <c r="D111" s="70"/>
      <c r="E111" s="56">
        <v>35.0</v>
      </c>
      <c r="F111" s="59">
        <f t="shared" si="6"/>
        <v>0</v>
      </c>
      <c r="G111" s="56">
        <v>35.0</v>
      </c>
      <c r="H111" s="59">
        <f t="shared" si="1"/>
        <v>0</v>
      </c>
      <c r="I111" s="39"/>
      <c r="J111" s="39"/>
      <c r="K111" s="60">
        <f t="shared" si="2"/>
        <v>0</v>
      </c>
      <c r="L111" s="39"/>
      <c r="M111" s="59">
        <f t="shared" si="3"/>
        <v>0</v>
      </c>
      <c r="N111" s="61">
        <v>35.0</v>
      </c>
      <c r="O111" s="62">
        <f t="shared" si="4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4">
        <v>104.0</v>
      </c>
      <c r="C112" s="56" t="s">
        <v>152</v>
      </c>
      <c r="D112" s="67">
        <v>6500.0</v>
      </c>
      <c r="E112" s="56">
        <v>5.0</v>
      </c>
      <c r="F112" s="59">
        <f t="shared" si="6"/>
        <v>32500</v>
      </c>
      <c r="G112" s="56">
        <v>5.0</v>
      </c>
      <c r="H112" s="59">
        <f t="shared" si="1"/>
        <v>32500</v>
      </c>
      <c r="I112" s="39"/>
      <c r="J112" s="39"/>
      <c r="K112" s="60">
        <f t="shared" si="2"/>
        <v>0</v>
      </c>
      <c r="L112" s="39"/>
      <c r="M112" s="59">
        <f t="shared" si="3"/>
        <v>0</v>
      </c>
      <c r="N112" s="61">
        <v>5.0</v>
      </c>
      <c r="O112" s="62">
        <f t="shared" si="4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4">
        <v>105.0</v>
      </c>
      <c r="C113" s="56" t="s">
        <v>153</v>
      </c>
      <c r="D113" s="67">
        <v>97489.19</v>
      </c>
      <c r="E113" s="56">
        <v>62.0</v>
      </c>
      <c r="F113" s="59">
        <f t="shared" si="6"/>
        <v>6044329.78</v>
      </c>
      <c r="G113" s="56">
        <v>62.0</v>
      </c>
      <c r="H113" s="59">
        <f t="shared" si="1"/>
        <v>6044329.78</v>
      </c>
      <c r="I113" s="39"/>
      <c r="J113" s="39"/>
      <c r="K113" s="60">
        <f t="shared" si="2"/>
        <v>0</v>
      </c>
      <c r="L113" s="39"/>
      <c r="M113" s="59">
        <f t="shared" si="3"/>
        <v>0</v>
      </c>
      <c r="N113" s="61">
        <v>62.0</v>
      </c>
      <c r="O113" s="62">
        <f t="shared" si="4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4">
        <v>106.0</v>
      </c>
      <c r="C114" s="56" t="s">
        <v>154</v>
      </c>
      <c r="D114" s="67">
        <v>103603.6</v>
      </c>
      <c r="E114" s="56">
        <v>3.0</v>
      </c>
      <c r="F114" s="59">
        <f t="shared" si="6"/>
        <v>310810.8</v>
      </c>
      <c r="G114" s="56">
        <v>3.0</v>
      </c>
      <c r="H114" s="59">
        <f t="shared" si="1"/>
        <v>310810.8</v>
      </c>
      <c r="I114" s="39"/>
      <c r="J114" s="39"/>
      <c r="K114" s="60">
        <f t="shared" si="2"/>
        <v>0</v>
      </c>
      <c r="L114" s="39"/>
      <c r="M114" s="59">
        <f t="shared" si="3"/>
        <v>0</v>
      </c>
      <c r="N114" s="61">
        <v>3.0</v>
      </c>
      <c r="O114" s="62">
        <f t="shared" si="4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4">
        <v>107.0</v>
      </c>
      <c r="C115" s="56" t="s">
        <v>155</v>
      </c>
      <c r="D115" s="67">
        <v>38589.19</v>
      </c>
      <c r="E115" s="56">
        <v>74.0</v>
      </c>
      <c r="F115" s="59">
        <f t="shared" si="6"/>
        <v>2855600.06</v>
      </c>
      <c r="G115" s="56">
        <v>74.0</v>
      </c>
      <c r="H115" s="59">
        <f t="shared" si="1"/>
        <v>2855600.06</v>
      </c>
      <c r="I115" s="39"/>
      <c r="J115" s="39"/>
      <c r="K115" s="60">
        <f t="shared" si="2"/>
        <v>0</v>
      </c>
      <c r="L115" s="39"/>
      <c r="M115" s="59">
        <f t="shared" si="3"/>
        <v>0</v>
      </c>
      <c r="N115" s="61">
        <v>74.0</v>
      </c>
      <c r="O115" s="62">
        <f t="shared" si="4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4">
        <v>108.0</v>
      </c>
      <c r="C116" s="56" t="s">
        <v>156</v>
      </c>
      <c r="D116" s="67">
        <v>27894.59</v>
      </c>
      <c r="E116" s="56">
        <v>17.5</v>
      </c>
      <c r="F116" s="59">
        <f t="shared" si="6"/>
        <v>488155.325</v>
      </c>
      <c r="G116" s="56">
        <v>17.5</v>
      </c>
      <c r="H116" s="59">
        <f t="shared" si="1"/>
        <v>488155.325</v>
      </c>
      <c r="I116" s="39"/>
      <c r="J116" s="39"/>
      <c r="K116" s="60">
        <f t="shared" si="2"/>
        <v>0</v>
      </c>
      <c r="L116" s="39"/>
      <c r="M116" s="59">
        <f t="shared" si="3"/>
        <v>0</v>
      </c>
      <c r="N116" s="61">
        <v>17.5</v>
      </c>
      <c r="O116" s="62">
        <f t="shared" si="4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4">
        <v>109.0</v>
      </c>
      <c r="C117" s="56" t="s">
        <v>157</v>
      </c>
      <c r="D117" s="67">
        <v>57272.97</v>
      </c>
      <c r="E117" s="56">
        <v>346.0</v>
      </c>
      <c r="F117" s="59">
        <f t="shared" si="6"/>
        <v>19816447.62</v>
      </c>
      <c r="G117" s="56">
        <v>346.0</v>
      </c>
      <c r="H117" s="59">
        <f t="shared" si="1"/>
        <v>19816447.62</v>
      </c>
      <c r="I117" s="39"/>
      <c r="J117" s="39"/>
      <c r="K117" s="60">
        <f t="shared" si="2"/>
        <v>0</v>
      </c>
      <c r="L117" s="39"/>
      <c r="M117" s="59">
        <f t="shared" si="3"/>
        <v>0</v>
      </c>
      <c r="N117" s="61">
        <v>346.0</v>
      </c>
      <c r="O117" s="62">
        <f t="shared" si="4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4">
        <v>110.0</v>
      </c>
      <c r="C118" s="56" t="s">
        <v>158</v>
      </c>
      <c r="D118" s="67">
        <v>57069.37</v>
      </c>
      <c r="E118" s="56">
        <v>39.0</v>
      </c>
      <c r="F118" s="59">
        <f t="shared" si="6"/>
        <v>2225705.43</v>
      </c>
      <c r="G118" s="56">
        <v>39.0</v>
      </c>
      <c r="H118" s="59">
        <f t="shared" si="1"/>
        <v>2225705.43</v>
      </c>
      <c r="I118" s="39"/>
      <c r="J118" s="39"/>
      <c r="K118" s="60">
        <f t="shared" si="2"/>
        <v>0</v>
      </c>
      <c r="L118" s="39"/>
      <c r="M118" s="59">
        <f t="shared" si="3"/>
        <v>0</v>
      </c>
      <c r="N118" s="61">
        <v>39.0</v>
      </c>
      <c r="O118" s="62">
        <f t="shared" si="4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4">
        <v>111.0</v>
      </c>
      <c r="C119" s="56" t="s">
        <v>159</v>
      </c>
      <c r="D119" s="67">
        <v>40290.86</v>
      </c>
      <c r="E119" s="56">
        <v>89.0</v>
      </c>
      <c r="F119" s="59">
        <f t="shared" si="6"/>
        <v>3585886.54</v>
      </c>
      <c r="G119" s="56">
        <v>89.0</v>
      </c>
      <c r="H119" s="59">
        <f t="shared" si="1"/>
        <v>3585886.54</v>
      </c>
      <c r="I119" s="39"/>
      <c r="J119" s="39"/>
      <c r="K119" s="60">
        <f t="shared" si="2"/>
        <v>0</v>
      </c>
      <c r="L119" s="39"/>
      <c r="M119" s="59">
        <f t="shared" si="3"/>
        <v>0</v>
      </c>
      <c r="N119" s="61">
        <v>89.0</v>
      </c>
      <c r="O119" s="62">
        <f t="shared" si="4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4">
        <v>112.0</v>
      </c>
      <c r="C120" s="56" t="s">
        <v>160</v>
      </c>
      <c r="D120" s="67">
        <v>633590.73</v>
      </c>
      <c r="E120" s="56">
        <v>0.0</v>
      </c>
      <c r="F120" s="59">
        <f t="shared" si="6"/>
        <v>0</v>
      </c>
      <c r="G120" s="56">
        <v>0.0</v>
      </c>
      <c r="H120" s="59">
        <f t="shared" si="1"/>
        <v>0</v>
      </c>
      <c r="I120" s="39"/>
      <c r="J120" s="39"/>
      <c r="K120" s="60">
        <f t="shared" si="2"/>
        <v>0</v>
      </c>
      <c r="L120" s="39"/>
      <c r="M120" s="59">
        <f t="shared" si="3"/>
        <v>0</v>
      </c>
      <c r="N120" s="61">
        <v>0.0</v>
      </c>
      <c r="O120" s="62">
        <f t="shared" si="4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4">
        <v>113.0</v>
      </c>
      <c r="C121" s="56" t="s">
        <v>161</v>
      </c>
      <c r="D121" s="67">
        <v>157414.15</v>
      </c>
      <c r="E121" s="56">
        <v>78.0</v>
      </c>
      <c r="F121" s="59">
        <f t="shared" si="6"/>
        <v>12278303.7</v>
      </c>
      <c r="G121" s="56">
        <v>78.0</v>
      </c>
      <c r="H121" s="59">
        <f t="shared" si="1"/>
        <v>12278303.7</v>
      </c>
      <c r="I121" s="39"/>
      <c r="J121" s="39"/>
      <c r="K121" s="60">
        <f t="shared" si="2"/>
        <v>0</v>
      </c>
      <c r="L121" s="39"/>
      <c r="M121" s="59">
        <f t="shared" si="3"/>
        <v>0</v>
      </c>
      <c r="N121" s="61">
        <v>78.0</v>
      </c>
      <c r="O121" s="62">
        <f t="shared" si="4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4">
        <v>114.0</v>
      </c>
      <c r="C122" s="56" t="s">
        <v>162</v>
      </c>
      <c r="D122" s="67">
        <v>140292.15</v>
      </c>
      <c r="E122" s="56">
        <v>76.0</v>
      </c>
      <c r="F122" s="59">
        <f t="shared" si="6"/>
        <v>10662203.4</v>
      </c>
      <c r="G122" s="56">
        <v>76.0</v>
      </c>
      <c r="H122" s="59">
        <f t="shared" si="1"/>
        <v>10662203.4</v>
      </c>
      <c r="I122" s="39"/>
      <c r="J122" s="39"/>
      <c r="K122" s="60">
        <f t="shared" si="2"/>
        <v>0</v>
      </c>
      <c r="L122" s="39"/>
      <c r="M122" s="59">
        <f t="shared" si="3"/>
        <v>0</v>
      </c>
      <c r="N122" s="61">
        <v>76.0</v>
      </c>
      <c r="O122" s="62">
        <f t="shared" si="4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4">
        <v>115.0</v>
      </c>
      <c r="C123" s="56" t="s">
        <v>163</v>
      </c>
      <c r="D123" s="67">
        <v>175048.91</v>
      </c>
      <c r="E123" s="56">
        <v>6.0</v>
      </c>
      <c r="F123" s="59">
        <f t="shared" si="6"/>
        <v>1050293.46</v>
      </c>
      <c r="G123" s="56">
        <v>6.0</v>
      </c>
      <c r="H123" s="59">
        <f t="shared" si="1"/>
        <v>1050293.46</v>
      </c>
      <c r="I123" s="39"/>
      <c r="J123" s="39"/>
      <c r="K123" s="60">
        <f t="shared" si="2"/>
        <v>0</v>
      </c>
      <c r="L123" s="39"/>
      <c r="M123" s="59">
        <f t="shared" si="3"/>
        <v>0</v>
      </c>
      <c r="N123" s="61">
        <v>6.0</v>
      </c>
      <c r="O123" s="62">
        <f t="shared" si="4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4">
        <v>116.0</v>
      </c>
      <c r="C124" s="56" t="s">
        <v>164</v>
      </c>
      <c r="D124" s="67">
        <v>26737.45</v>
      </c>
      <c r="E124" s="56">
        <v>10.0</v>
      </c>
      <c r="F124" s="59">
        <f t="shared" si="6"/>
        <v>267374.5</v>
      </c>
      <c r="G124" s="56">
        <v>10.0</v>
      </c>
      <c r="H124" s="59">
        <f t="shared" si="1"/>
        <v>267374.5</v>
      </c>
      <c r="I124" s="39"/>
      <c r="J124" s="39"/>
      <c r="K124" s="60">
        <f t="shared" si="2"/>
        <v>0</v>
      </c>
      <c r="L124" s="39"/>
      <c r="M124" s="59">
        <f t="shared" si="3"/>
        <v>0</v>
      </c>
      <c r="N124" s="61">
        <v>10.0</v>
      </c>
      <c r="O124" s="62">
        <f t="shared" si="4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4">
        <v>117.0</v>
      </c>
      <c r="C125" s="56" t="s">
        <v>165</v>
      </c>
      <c r="D125" s="67">
        <v>171183.78</v>
      </c>
      <c r="E125" s="56">
        <v>3.0</v>
      </c>
      <c r="F125" s="59">
        <f t="shared" si="6"/>
        <v>513551.34</v>
      </c>
      <c r="G125" s="56">
        <v>3.0</v>
      </c>
      <c r="H125" s="59">
        <f t="shared" si="1"/>
        <v>513551.34</v>
      </c>
      <c r="I125" s="39"/>
      <c r="J125" s="39"/>
      <c r="K125" s="60">
        <f t="shared" si="2"/>
        <v>0</v>
      </c>
      <c r="L125" s="39"/>
      <c r="M125" s="59">
        <f t="shared" si="3"/>
        <v>0</v>
      </c>
      <c r="N125" s="61">
        <v>3.0</v>
      </c>
      <c r="O125" s="62">
        <f t="shared" si="4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4">
        <v>118.0</v>
      </c>
      <c r="C126" s="56" t="s">
        <v>166</v>
      </c>
      <c r="D126" s="67">
        <v>376228.83</v>
      </c>
      <c r="E126" s="56">
        <v>4.0</v>
      </c>
      <c r="F126" s="59">
        <f t="shared" si="6"/>
        <v>1504915.32</v>
      </c>
      <c r="G126" s="56">
        <v>4.0</v>
      </c>
      <c r="H126" s="59">
        <f t="shared" si="1"/>
        <v>1504915.32</v>
      </c>
      <c r="I126" s="39"/>
      <c r="J126" s="39"/>
      <c r="K126" s="60">
        <f t="shared" si="2"/>
        <v>0</v>
      </c>
      <c r="L126" s="39"/>
      <c r="M126" s="59">
        <f t="shared" si="3"/>
        <v>0</v>
      </c>
      <c r="N126" s="61">
        <v>4.0</v>
      </c>
      <c r="O126" s="62">
        <f t="shared" si="4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4">
        <v>119.0</v>
      </c>
      <c r="C127" s="56" t="s">
        <v>167</v>
      </c>
      <c r="D127" s="70"/>
      <c r="E127" s="56">
        <v>0.0</v>
      </c>
      <c r="F127" s="59">
        <f t="shared" si="6"/>
        <v>0</v>
      </c>
      <c r="G127" s="56">
        <v>0.0</v>
      </c>
      <c r="H127" s="59">
        <f t="shared" si="1"/>
        <v>0</v>
      </c>
      <c r="I127" s="39"/>
      <c r="J127" s="39"/>
      <c r="K127" s="60">
        <f t="shared" si="2"/>
        <v>0</v>
      </c>
      <c r="L127" s="39"/>
      <c r="M127" s="59">
        <f t="shared" si="3"/>
        <v>0</v>
      </c>
      <c r="N127" s="61">
        <v>0.0</v>
      </c>
      <c r="O127" s="62">
        <f t="shared" si="4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4">
        <v>120.0</v>
      </c>
      <c r="C128" s="56" t="s">
        <v>168</v>
      </c>
      <c r="D128" s="67">
        <v>93.14</v>
      </c>
      <c r="E128" s="56">
        <v>9998.0</v>
      </c>
      <c r="F128" s="59">
        <f t="shared" si="6"/>
        <v>931213.72</v>
      </c>
      <c r="G128" s="56">
        <v>9998.0</v>
      </c>
      <c r="H128" s="59">
        <f t="shared" si="1"/>
        <v>931213.72</v>
      </c>
      <c r="I128" s="39"/>
      <c r="J128" s="39"/>
      <c r="K128" s="60">
        <f t="shared" si="2"/>
        <v>0</v>
      </c>
      <c r="L128" s="56"/>
      <c r="M128" s="59">
        <f t="shared" si="3"/>
        <v>0</v>
      </c>
      <c r="N128" s="61">
        <v>9998.0</v>
      </c>
      <c r="O128" s="62">
        <f t="shared" si="4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4">
        <v>121.0</v>
      </c>
      <c r="C129" s="56" t="s">
        <v>169</v>
      </c>
      <c r="D129" s="67">
        <v>24000.0</v>
      </c>
      <c r="E129" s="56">
        <v>8.0</v>
      </c>
      <c r="F129" s="59">
        <f t="shared" si="6"/>
        <v>192000</v>
      </c>
      <c r="G129" s="56">
        <v>8.0</v>
      </c>
      <c r="H129" s="59">
        <f t="shared" si="1"/>
        <v>192000</v>
      </c>
      <c r="I129" s="39"/>
      <c r="J129" s="39"/>
      <c r="K129" s="60">
        <f t="shared" si="2"/>
        <v>0</v>
      </c>
      <c r="L129" s="39"/>
      <c r="M129" s="59">
        <f t="shared" si="3"/>
        <v>0</v>
      </c>
      <c r="N129" s="61">
        <v>8.0</v>
      </c>
      <c r="O129" s="62">
        <f t="shared" si="4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4">
        <v>122.0</v>
      </c>
      <c r="C130" s="56" t="s">
        <v>170</v>
      </c>
      <c r="D130" s="67">
        <v>22500.0</v>
      </c>
      <c r="E130" s="56">
        <v>0.0</v>
      </c>
      <c r="F130" s="59">
        <f t="shared" si="6"/>
        <v>0</v>
      </c>
      <c r="G130" s="56">
        <v>0.0</v>
      </c>
      <c r="H130" s="59">
        <f t="shared" si="1"/>
        <v>0</v>
      </c>
      <c r="I130" s="39"/>
      <c r="J130" s="39"/>
      <c r="K130" s="60">
        <f t="shared" si="2"/>
        <v>0</v>
      </c>
      <c r="L130" s="39"/>
      <c r="M130" s="59">
        <f t="shared" si="3"/>
        <v>0</v>
      </c>
      <c r="N130" s="61">
        <v>0.0</v>
      </c>
      <c r="O130" s="62">
        <f t="shared" si="4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4">
        <v>123.0</v>
      </c>
      <c r="C131" s="56" t="s">
        <v>171</v>
      </c>
      <c r="D131" s="67">
        <v>9549.55</v>
      </c>
      <c r="E131" s="56">
        <v>62.0</v>
      </c>
      <c r="F131" s="59">
        <f t="shared" si="6"/>
        <v>592072.1</v>
      </c>
      <c r="G131" s="56">
        <v>62.0</v>
      </c>
      <c r="H131" s="59">
        <f t="shared" si="1"/>
        <v>592072.1</v>
      </c>
      <c r="I131" s="39"/>
      <c r="J131" s="39"/>
      <c r="K131" s="60">
        <f t="shared" si="2"/>
        <v>0</v>
      </c>
      <c r="L131" s="39"/>
      <c r="M131" s="59">
        <f t="shared" si="3"/>
        <v>0</v>
      </c>
      <c r="N131" s="61">
        <v>62.0</v>
      </c>
      <c r="O131" s="62">
        <f t="shared" si="4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4">
        <v>124.0</v>
      </c>
      <c r="C132" s="56" t="s">
        <v>172</v>
      </c>
      <c r="D132" s="67">
        <v>19819.82</v>
      </c>
      <c r="E132" s="56">
        <v>34.5</v>
      </c>
      <c r="F132" s="59">
        <f t="shared" si="6"/>
        <v>683783.79</v>
      </c>
      <c r="G132" s="56">
        <v>34.5</v>
      </c>
      <c r="H132" s="59">
        <f t="shared" si="1"/>
        <v>683783.79</v>
      </c>
      <c r="I132" s="39"/>
      <c r="J132" s="39"/>
      <c r="K132" s="60">
        <f t="shared" si="2"/>
        <v>0</v>
      </c>
      <c r="L132" s="39"/>
      <c r="M132" s="59">
        <f t="shared" si="3"/>
        <v>0</v>
      </c>
      <c r="N132" s="61">
        <v>34.5</v>
      </c>
      <c r="O132" s="62">
        <f t="shared" si="4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4">
        <v>125.0</v>
      </c>
      <c r="C133" s="56" t="s">
        <v>173</v>
      </c>
      <c r="D133" s="67">
        <v>9549.55</v>
      </c>
      <c r="E133" s="56">
        <v>4.0</v>
      </c>
      <c r="F133" s="59">
        <f t="shared" si="6"/>
        <v>38198.2</v>
      </c>
      <c r="G133" s="56">
        <v>4.0</v>
      </c>
      <c r="H133" s="59">
        <f t="shared" si="1"/>
        <v>38198.2</v>
      </c>
      <c r="I133" s="39"/>
      <c r="J133" s="39"/>
      <c r="K133" s="60">
        <f t="shared" si="2"/>
        <v>0</v>
      </c>
      <c r="L133" s="39"/>
      <c r="M133" s="59">
        <f t="shared" si="3"/>
        <v>0</v>
      </c>
      <c r="N133" s="61">
        <v>4.0</v>
      </c>
      <c r="O133" s="62">
        <f t="shared" si="4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4">
        <v>126.0</v>
      </c>
      <c r="C134" s="56" t="s">
        <v>174</v>
      </c>
      <c r="D134" s="67">
        <v>19819.82</v>
      </c>
      <c r="E134" s="56">
        <v>26.0</v>
      </c>
      <c r="F134" s="59">
        <f t="shared" si="6"/>
        <v>515315.32</v>
      </c>
      <c r="G134" s="56">
        <v>26.0</v>
      </c>
      <c r="H134" s="59">
        <f t="shared" si="1"/>
        <v>515315.32</v>
      </c>
      <c r="I134" s="39"/>
      <c r="J134" s="39"/>
      <c r="K134" s="60">
        <f t="shared" si="2"/>
        <v>0</v>
      </c>
      <c r="L134" s="39"/>
      <c r="M134" s="59">
        <f t="shared" si="3"/>
        <v>0</v>
      </c>
      <c r="N134" s="61">
        <v>26.0</v>
      </c>
      <c r="O134" s="62">
        <f t="shared" si="4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4">
        <v>127.0</v>
      </c>
      <c r="C135" s="56" t="s">
        <v>175</v>
      </c>
      <c r="D135" s="67">
        <v>9459.46</v>
      </c>
      <c r="E135" s="56">
        <v>3.0</v>
      </c>
      <c r="F135" s="59">
        <f t="shared" si="6"/>
        <v>28378.38</v>
      </c>
      <c r="G135" s="56">
        <v>3.0</v>
      </c>
      <c r="H135" s="59">
        <f t="shared" si="1"/>
        <v>28378.38</v>
      </c>
      <c r="I135" s="39"/>
      <c r="J135" s="39"/>
      <c r="K135" s="60">
        <f t="shared" si="2"/>
        <v>0</v>
      </c>
      <c r="L135" s="39"/>
      <c r="M135" s="59">
        <f t="shared" si="3"/>
        <v>0</v>
      </c>
      <c r="N135" s="61">
        <v>3.0</v>
      </c>
      <c r="O135" s="62">
        <f t="shared" si="4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4">
        <v>128.0</v>
      </c>
      <c r="C136" s="56" t="s">
        <v>176</v>
      </c>
      <c r="D136" s="67">
        <v>19819.82</v>
      </c>
      <c r="E136" s="56">
        <v>131.0</v>
      </c>
      <c r="F136" s="59">
        <f t="shared" si="6"/>
        <v>2596396.42</v>
      </c>
      <c r="G136" s="56">
        <v>131.0</v>
      </c>
      <c r="H136" s="59">
        <f t="shared" si="1"/>
        <v>2596396.42</v>
      </c>
      <c r="I136" s="39"/>
      <c r="J136" s="39"/>
      <c r="K136" s="60">
        <f t="shared" si="2"/>
        <v>0</v>
      </c>
      <c r="L136" s="39"/>
      <c r="M136" s="59">
        <f t="shared" si="3"/>
        <v>0</v>
      </c>
      <c r="N136" s="61">
        <v>131.0</v>
      </c>
      <c r="O136" s="62">
        <f t="shared" si="4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4">
        <v>129.0</v>
      </c>
      <c r="C137" s="56" t="s">
        <v>177</v>
      </c>
      <c r="D137" s="67">
        <v>500.0</v>
      </c>
      <c r="E137" s="56">
        <v>2041.0</v>
      </c>
      <c r="F137" s="59">
        <f t="shared" si="6"/>
        <v>1020500</v>
      </c>
      <c r="G137" s="56">
        <v>2133.0</v>
      </c>
      <c r="H137" s="59">
        <f t="shared" si="1"/>
        <v>1066500</v>
      </c>
      <c r="I137" s="39"/>
      <c r="J137" s="39"/>
      <c r="K137" s="60">
        <f t="shared" si="2"/>
        <v>0</v>
      </c>
      <c r="L137" s="56">
        <v>92.0</v>
      </c>
      <c r="M137" s="59">
        <f t="shared" si="3"/>
        <v>46000</v>
      </c>
      <c r="N137" s="69">
        <v>2133.0</v>
      </c>
      <c r="O137" s="62">
        <f t="shared" si="4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4">
        <v>130.0</v>
      </c>
      <c r="C138" s="56" t="s">
        <v>178</v>
      </c>
      <c r="D138" s="67">
        <v>84.29</v>
      </c>
      <c r="E138" s="56">
        <v>1160.0</v>
      </c>
      <c r="F138" s="59">
        <f t="shared" si="6"/>
        <v>97776.4</v>
      </c>
      <c r="G138" s="56">
        <v>1160.0</v>
      </c>
      <c r="H138" s="59">
        <f t="shared" si="1"/>
        <v>97776.4</v>
      </c>
      <c r="I138" s="39"/>
      <c r="J138" s="39"/>
      <c r="K138" s="60">
        <f t="shared" si="2"/>
        <v>0</v>
      </c>
      <c r="L138" s="39"/>
      <c r="M138" s="59">
        <f t="shared" si="3"/>
        <v>0</v>
      </c>
      <c r="N138" s="69">
        <v>1160.0</v>
      </c>
      <c r="O138" s="62">
        <f t="shared" si="4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4">
        <v>131.0</v>
      </c>
      <c r="C139" s="56" t="s">
        <v>179</v>
      </c>
      <c r="D139" s="67">
        <v>85.0</v>
      </c>
      <c r="E139" s="56">
        <v>184.0</v>
      </c>
      <c r="F139" s="59">
        <f t="shared" si="6"/>
        <v>15640</v>
      </c>
      <c r="G139" s="56">
        <v>184.0</v>
      </c>
      <c r="H139" s="59">
        <f t="shared" si="1"/>
        <v>15640</v>
      </c>
      <c r="I139" s="39"/>
      <c r="J139" s="39"/>
      <c r="K139" s="60">
        <f t="shared" si="2"/>
        <v>0</v>
      </c>
      <c r="L139" s="39"/>
      <c r="M139" s="59">
        <f t="shared" si="3"/>
        <v>0</v>
      </c>
      <c r="N139" s="69">
        <v>184.0</v>
      </c>
      <c r="O139" s="62">
        <f t="shared" si="4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4">
        <v>132.0</v>
      </c>
      <c r="C140" s="56" t="s">
        <v>180</v>
      </c>
      <c r="D140" s="67">
        <v>740.0</v>
      </c>
      <c r="E140" s="56">
        <v>0.0</v>
      </c>
      <c r="F140" s="59">
        <f t="shared" si="6"/>
        <v>0</v>
      </c>
      <c r="G140" s="56">
        <v>0.0</v>
      </c>
      <c r="H140" s="59">
        <f t="shared" si="1"/>
        <v>0</v>
      </c>
      <c r="I140" s="39"/>
      <c r="J140" s="39"/>
      <c r="K140" s="60">
        <f t="shared" si="2"/>
        <v>0</v>
      </c>
      <c r="L140" s="39"/>
      <c r="M140" s="59">
        <f t="shared" si="3"/>
        <v>0</v>
      </c>
      <c r="N140" s="69">
        <v>0.0</v>
      </c>
      <c r="O140" s="62">
        <f t="shared" si="4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4">
        <v>133.0</v>
      </c>
      <c r="C141" s="56" t="s">
        <v>181</v>
      </c>
      <c r="D141" s="67">
        <v>544.0</v>
      </c>
      <c r="E141" s="56">
        <v>62.0</v>
      </c>
      <c r="F141" s="59">
        <f t="shared" si="6"/>
        <v>33728</v>
      </c>
      <c r="G141" s="56">
        <v>62.0</v>
      </c>
      <c r="H141" s="59">
        <f t="shared" si="1"/>
        <v>33728</v>
      </c>
      <c r="I141" s="39"/>
      <c r="J141" s="39"/>
      <c r="K141" s="60">
        <f t="shared" si="2"/>
        <v>0</v>
      </c>
      <c r="L141" s="39"/>
      <c r="M141" s="59">
        <f t="shared" si="3"/>
        <v>0</v>
      </c>
      <c r="N141" s="69">
        <v>62.0</v>
      </c>
      <c r="O141" s="62">
        <f t="shared" si="4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4">
        <v>134.0</v>
      </c>
      <c r="C142" s="56" t="s">
        <v>182</v>
      </c>
      <c r="D142" s="67">
        <v>8000.0</v>
      </c>
      <c r="E142" s="56">
        <v>65.0</v>
      </c>
      <c r="F142" s="59">
        <f t="shared" si="6"/>
        <v>520000</v>
      </c>
      <c r="G142" s="56">
        <v>65.0</v>
      </c>
      <c r="H142" s="59">
        <f t="shared" si="1"/>
        <v>520000</v>
      </c>
      <c r="I142" s="39"/>
      <c r="J142" s="39"/>
      <c r="K142" s="60">
        <f t="shared" si="2"/>
        <v>0</v>
      </c>
      <c r="L142" s="39"/>
      <c r="M142" s="59">
        <f t="shared" si="3"/>
        <v>0</v>
      </c>
      <c r="N142" s="69">
        <v>65.0</v>
      </c>
      <c r="O142" s="62">
        <f t="shared" si="4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4">
        <v>135.0</v>
      </c>
      <c r="C143" s="56" t="s">
        <v>183</v>
      </c>
      <c r="D143" s="67">
        <v>24774.77</v>
      </c>
      <c r="E143" s="56">
        <v>7.0</v>
      </c>
      <c r="F143" s="59">
        <f t="shared" si="6"/>
        <v>173423.39</v>
      </c>
      <c r="G143" s="56">
        <v>7.0</v>
      </c>
      <c r="H143" s="59">
        <f t="shared" si="1"/>
        <v>173423.39</v>
      </c>
      <c r="I143" s="39"/>
      <c r="J143" s="39"/>
      <c r="K143" s="60">
        <f t="shared" si="2"/>
        <v>0</v>
      </c>
      <c r="L143" s="39"/>
      <c r="M143" s="59">
        <f t="shared" si="3"/>
        <v>0</v>
      </c>
      <c r="N143" s="69">
        <v>7.0</v>
      </c>
      <c r="O143" s="62">
        <f t="shared" si="4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4">
        <v>136.0</v>
      </c>
      <c r="C144" s="56" t="s">
        <v>184</v>
      </c>
      <c r="D144" s="67">
        <v>2157.14</v>
      </c>
      <c r="E144" s="56">
        <v>41.0</v>
      </c>
      <c r="F144" s="59">
        <f t="shared" si="6"/>
        <v>88442.74</v>
      </c>
      <c r="G144" s="56">
        <v>41.0</v>
      </c>
      <c r="H144" s="59">
        <f t="shared" si="1"/>
        <v>88442.74</v>
      </c>
      <c r="I144" s="39"/>
      <c r="J144" s="39"/>
      <c r="K144" s="60">
        <f t="shared" si="2"/>
        <v>0</v>
      </c>
      <c r="L144" s="39"/>
      <c r="M144" s="59">
        <f t="shared" si="3"/>
        <v>0</v>
      </c>
      <c r="N144" s="69">
        <v>41.0</v>
      </c>
      <c r="O144" s="62">
        <f t="shared" si="4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4">
        <v>137.0</v>
      </c>
      <c r="C145" s="56" t="s">
        <v>185</v>
      </c>
      <c r="D145" s="67">
        <v>13666.67</v>
      </c>
      <c r="E145" s="56">
        <v>170.5</v>
      </c>
      <c r="F145" s="59">
        <f t="shared" si="6"/>
        <v>2330167.235</v>
      </c>
      <c r="G145" s="56">
        <v>170.5</v>
      </c>
      <c r="H145" s="59">
        <f t="shared" si="1"/>
        <v>2330167.235</v>
      </c>
      <c r="I145" s="39"/>
      <c r="J145" s="39"/>
      <c r="K145" s="60">
        <f t="shared" si="2"/>
        <v>0</v>
      </c>
      <c r="L145" s="39"/>
      <c r="M145" s="59">
        <f t="shared" si="3"/>
        <v>0</v>
      </c>
      <c r="N145" s="69">
        <v>170.5</v>
      </c>
      <c r="O145" s="62">
        <f t="shared" si="4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4">
        <v>138.0</v>
      </c>
      <c r="C146" s="56" t="s">
        <v>186</v>
      </c>
      <c r="D146" s="67">
        <v>7200.0</v>
      </c>
      <c r="E146" s="56">
        <v>69.0</v>
      </c>
      <c r="F146" s="59">
        <f t="shared" si="6"/>
        <v>496800</v>
      </c>
      <c r="G146" s="56">
        <v>69.0</v>
      </c>
      <c r="H146" s="59">
        <f t="shared" si="1"/>
        <v>496800</v>
      </c>
      <c r="I146" s="39"/>
      <c r="J146" s="39"/>
      <c r="K146" s="60">
        <f t="shared" si="2"/>
        <v>0</v>
      </c>
      <c r="L146" s="39"/>
      <c r="M146" s="59">
        <f t="shared" si="3"/>
        <v>0</v>
      </c>
      <c r="N146" s="69">
        <v>69.0</v>
      </c>
      <c r="O146" s="62">
        <f t="shared" si="4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4">
        <v>139.0</v>
      </c>
      <c r="C147" s="56" t="s">
        <v>187</v>
      </c>
      <c r="D147" s="67">
        <v>7200.0</v>
      </c>
      <c r="E147" s="56">
        <v>77.0</v>
      </c>
      <c r="F147" s="59">
        <f t="shared" si="6"/>
        <v>554400</v>
      </c>
      <c r="G147" s="56">
        <v>77.0</v>
      </c>
      <c r="H147" s="59">
        <f t="shared" si="1"/>
        <v>554400</v>
      </c>
      <c r="I147" s="39"/>
      <c r="J147" s="39"/>
      <c r="K147" s="60">
        <f t="shared" si="2"/>
        <v>0</v>
      </c>
      <c r="L147" s="39"/>
      <c r="M147" s="59">
        <f t="shared" si="3"/>
        <v>0</v>
      </c>
      <c r="N147" s="69">
        <v>77.0</v>
      </c>
      <c r="O147" s="62">
        <f t="shared" si="4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4">
        <v>140.0</v>
      </c>
      <c r="C148" s="56" t="s">
        <v>188</v>
      </c>
      <c r="D148" s="67">
        <v>34500.0</v>
      </c>
      <c r="E148" s="56">
        <v>27.0</v>
      </c>
      <c r="F148" s="59">
        <f t="shared" si="6"/>
        <v>931500</v>
      </c>
      <c r="G148" s="56">
        <v>27.0</v>
      </c>
      <c r="H148" s="59">
        <f t="shared" si="1"/>
        <v>931500</v>
      </c>
      <c r="I148" s="39"/>
      <c r="J148" s="39"/>
      <c r="K148" s="60">
        <f t="shared" si="2"/>
        <v>0</v>
      </c>
      <c r="L148" s="39"/>
      <c r="M148" s="59">
        <f t="shared" si="3"/>
        <v>0</v>
      </c>
      <c r="N148" s="69">
        <v>27.0</v>
      </c>
      <c r="O148" s="62">
        <f t="shared" si="4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4">
        <v>141.0</v>
      </c>
      <c r="C149" s="56" t="s">
        <v>189</v>
      </c>
      <c r="D149" s="67">
        <v>53513.51</v>
      </c>
      <c r="E149" s="56">
        <v>152.0</v>
      </c>
      <c r="F149" s="59">
        <f t="shared" si="6"/>
        <v>8134053.52</v>
      </c>
      <c r="G149" s="56">
        <v>152.0</v>
      </c>
      <c r="H149" s="59">
        <f t="shared" si="1"/>
        <v>8134053.52</v>
      </c>
      <c r="I149" s="39"/>
      <c r="J149" s="39"/>
      <c r="K149" s="60">
        <f t="shared" si="2"/>
        <v>0</v>
      </c>
      <c r="L149" s="39"/>
      <c r="M149" s="59">
        <f t="shared" si="3"/>
        <v>0</v>
      </c>
      <c r="N149" s="69">
        <v>152.0</v>
      </c>
      <c r="O149" s="62">
        <f t="shared" si="4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4">
        <v>142.0</v>
      </c>
      <c r="C150" s="56" t="s">
        <v>190</v>
      </c>
      <c r="D150" s="67">
        <v>5855.86</v>
      </c>
      <c r="E150" s="56">
        <v>37.0</v>
      </c>
      <c r="F150" s="59">
        <f t="shared" si="6"/>
        <v>216666.82</v>
      </c>
      <c r="G150" s="56">
        <v>37.0</v>
      </c>
      <c r="H150" s="59">
        <f t="shared" si="1"/>
        <v>216666.82</v>
      </c>
      <c r="I150" s="39"/>
      <c r="J150" s="39"/>
      <c r="K150" s="60">
        <f t="shared" si="2"/>
        <v>0</v>
      </c>
      <c r="L150" s="39"/>
      <c r="M150" s="59">
        <f t="shared" si="3"/>
        <v>0</v>
      </c>
      <c r="N150" s="69">
        <v>37.0</v>
      </c>
      <c r="O150" s="62">
        <f t="shared" si="4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4">
        <v>143.0</v>
      </c>
      <c r="C151" s="56" t="s">
        <v>191</v>
      </c>
      <c r="D151" s="67">
        <v>8558.56</v>
      </c>
      <c r="E151" s="56">
        <v>8.0</v>
      </c>
      <c r="F151" s="59">
        <f t="shared" si="6"/>
        <v>68468.48</v>
      </c>
      <c r="G151" s="56">
        <v>8.0</v>
      </c>
      <c r="H151" s="59">
        <f t="shared" si="1"/>
        <v>68468.48</v>
      </c>
      <c r="I151" s="39"/>
      <c r="J151" s="39"/>
      <c r="K151" s="60">
        <f t="shared" si="2"/>
        <v>0</v>
      </c>
      <c r="L151" s="39"/>
      <c r="M151" s="59">
        <f t="shared" si="3"/>
        <v>0</v>
      </c>
      <c r="N151" s="69">
        <v>8.0</v>
      </c>
      <c r="O151" s="62">
        <f t="shared" si="4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4">
        <v>144.0</v>
      </c>
      <c r="C152" s="56" t="s">
        <v>192</v>
      </c>
      <c r="D152" s="67">
        <v>200.0</v>
      </c>
      <c r="E152" s="56">
        <v>572.0</v>
      </c>
      <c r="F152" s="59">
        <f t="shared" si="6"/>
        <v>114400</v>
      </c>
      <c r="G152" s="56">
        <v>577.0</v>
      </c>
      <c r="H152" s="59">
        <f t="shared" si="1"/>
        <v>115400</v>
      </c>
      <c r="I152" s="39"/>
      <c r="J152" s="39"/>
      <c r="K152" s="60">
        <f t="shared" si="2"/>
        <v>0</v>
      </c>
      <c r="L152" s="56">
        <v>5.0</v>
      </c>
      <c r="M152" s="59">
        <f t="shared" si="3"/>
        <v>1000</v>
      </c>
      <c r="N152" s="69">
        <v>577.0</v>
      </c>
      <c r="O152" s="62">
        <f t="shared" si="4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4">
        <v>145.0</v>
      </c>
      <c r="C153" s="56" t="s">
        <v>193</v>
      </c>
      <c r="D153" s="67">
        <v>250000.0</v>
      </c>
      <c r="E153" s="56">
        <v>1.0</v>
      </c>
      <c r="F153" s="59">
        <f t="shared" si="6"/>
        <v>250000</v>
      </c>
      <c r="G153" s="56">
        <v>1.0</v>
      </c>
      <c r="H153" s="59">
        <f t="shared" si="1"/>
        <v>250000</v>
      </c>
      <c r="I153" s="39"/>
      <c r="J153" s="39"/>
      <c r="K153" s="60">
        <f t="shared" si="2"/>
        <v>0</v>
      </c>
      <c r="L153" s="39"/>
      <c r="M153" s="59">
        <f t="shared" si="3"/>
        <v>0</v>
      </c>
      <c r="N153" s="69">
        <v>1.0</v>
      </c>
      <c r="O153" s="62">
        <f t="shared" si="4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4">
        <v>146.0</v>
      </c>
      <c r="C154" s="56" t="s">
        <v>194</v>
      </c>
      <c r="D154" s="67">
        <v>9412.61</v>
      </c>
      <c r="E154" s="56">
        <v>3.0</v>
      </c>
      <c r="F154" s="59">
        <f t="shared" si="6"/>
        <v>28237.83</v>
      </c>
      <c r="G154" s="56">
        <v>3.0</v>
      </c>
      <c r="H154" s="59">
        <f t="shared" si="1"/>
        <v>28237.83</v>
      </c>
      <c r="I154" s="39"/>
      <c r="J154" s="39"/>
      <c r="K154" s="60">
        <f t="shared" si="2"/>
        <v>0</v>
      </c>
      <c r="L154" s="39"/>
      <c r="M154" s="59">
        <f t="shared" si="3"/>
        <v>0</v>
      </c>
      <c r="N154" s="69">
        <v>3.0</v>
      </c>
      <c r="O154" s="62">
        <f t="shared" si="4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4">
        <v>147.0</v>
      </c>
      <c r="C155" s="56" t="s">
        <v>195</v>
      </c>
      <c r="D155" s="67">
        <v>2500.0</v>
      </c>
      <c r="E155" s="56">
        <v>6.0</v>
      </c>
      <c r="F155" s="59">
        <f t="shared" si="6"/>
        <v>15000</v>
      </c>
      <c r="G155" s="56">
        <v>6.0</v>
      </c>
      <c r="H155" s="59">
        <f t="shared" si="1"/>
        <v>15000</v>
      </c>
      <c r="I155" s="39"/>
      <c r="J155" s="39"/>
      <c r="K155" s="60">
        <f t="shared" si="2"/>
        <v>0</v>
      </c>
      <c r="L155" s="39"/>
      <c r="M155" s="59">
        <f t="shared" si="3"/>
        <v>0</v>
      </c>
      <c r="N155" s="69">
        <v>6.0</v>
      </c>
      <c r="O155" s="62">
        <f t="shared" si="4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4">
        <v>148.0</v>
      </c>
      <c r="C156" s="56" t="s">
        <v>196</v>
      </c>
      <c r="D156" s="67">
        <v>18000.0</v>
      </c>
      <c r="E156" s="56">
        <v>162.5</v>
      </c>
      <c r="F156" s="59">
        <f t="shared" si="6"/>
        <v>2925000</v>
      </c>
      <c r="G156" s="56">
        <v>164.0</v>
      </c>
      <c r="H156" s="59">
        <f t="shared" si="1"/>
        <v>2952000</v>
      </c>
      <c r="I156" s="39"/>
      <c r="J156" s="39"/>
      <c r="K156" s="60">
        <f t="shared" si="2"/>
        <v>0</v>
      </c>
      <c r="L156" s="56">
        <v>1.5</v>
      </c>
      <c r="M156" s="59">
        <f t="shared" si="3"/>
        <v>27000</v>
      </c>
      <c r="N156" s="69">
        <v>164.0</v>
      </c>
      <c r="O156" s="62">
        <f t="shared" si="4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4">
        <v>149.0</v>
      </c>
      <c r="C157" s="56" t="s">
        <v>197</v>
      </c>
      <c r="D157" s="67">
        <v>46935.14</v>
      </c>
      <c r="E157" s="56">
        <v>47.18</v>
      </c>
      <c r="F157" s="59">
        <f t="shared" si="6"/>
        <v>2214399.905</v>
      </c>
      <c r="G157" s="56">
        <v>58.2</v>
      </c>
      <c r="H157" s="59">
        <f t="shared" si="1"/>
        <v>2731625.148</v>
      </c>
      <c r="I157" s="39"/>
      <c r="J157" s="39"/>
      <c r="K157" s="60">
        <f t="shared" si="2"/>
        <v>0</v>
      </c>
      <c r="L157" s="56">
        <v>11.02</v>
      </c>
      <c r="M157" s="59">
        <f t="shared" si="3"/>
        <v>517225.2428</v>
      </c>
      <c r="N157" s="69"/>
      <c r="O157" s="62">
        <f t="shared" si="4"/>
        <v>-58.2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4">
        <v>150.0</v>
      </c>
      <c r="C158" s="56" t="s">
        <v>198</v>
      </c>
      <c r="D158" s="67">
        <v>18661.52</v>
      </c>
      <c r="E158" s="56">
        <v>6.0</v>
      </c>
      <c r="F158" s="59">
        <f t="shared" si="6"/>
        <v>111969.12</v>
      </c>
      <c r="G158" s="56">
        <v>10.0</v>
      </c>
      <c r="H158" s="59">
        <f t="shared" si="1"/>
        <v>186615.2</v>
      </c>
      <c r="I158" s="39"/>
      <c r="J158" s="39"/>
      <c r="K158" s="60">
        <f t="shared" si="2"/>
        <v>0</v>
      </c>
      <c r="L158" s="56">
        <v>4.0</v>
      </c>
      <c r="M158" s="59">
        <f t="shared" si="3"/>
        <v>74646.08</v>
      </c>
      <c r="N158" s="69">
        <v>10.0</v>
      </c>
      <c r="O158" s="62">
        <f t="shared" si="4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4">
        <v>151.0</v>
      </c>
      <c r="C159" s="56" t="s">
        <v>199</v>
      </c>
      <c r="D159" s="67">
        <v>4800.0</v>
      </c>
      <c r="E159" s="56">
        <v>38.0</v>
      </c>
      <c r="F159" s="59">
        <f t="shared" si="6"/>
        <v>182400</v>
      </c>
      <c r="G159" s="56">
        <v>53.0</v>
      </c>
      <c r="H159" s="59">
        <f t="shared" si="1"/>
        <v>254400</v>
      </c>
      <c r="I159" s="39"/>
      <c r="J159" s="39"/>
      <c r="K159" s="60">
        <f t="shared" si="2"/>
        <v>0</v>
      </c>
      <c r="L159" s="56">
        <v>15.0</v>
      </c>
      <c r="M159" s="59">
        <f t="shared" si="3"/>
        <v>72000</v>
      </c>
      <c r="N159" s="69">
        <v>53.0</v>
      </c>
      <c r="O159" s="62">
        <f t="shared" si="4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4">
        <v>152.0</v>
      </c>
      <c r="C160" s="56" t="s">
        <v>200</v>
      </c>
      <c r="D160" s="67">
        <v>27027.03</v>
      </c>
      <c r="E160" s="56">
        <v>29.0</v>
      </c>
      <c r="F160" s="59">
        <f t="shared" si="6"/>
        <v>783783.87</v>
      </c>
      <c r="G160" s="56">
        <v>31.0</v>
      </c>
      <c r="H160" s="59">
        <f t="shared" si="1"/>
        <v>837837.93</v>
      </c>
      <c r="I160" s="39"/>
      <c r="J160" s="39"/>
      <c r="K160" s="60">
        <f t="shared" si="2"/>
        <v>0</v>
      </c>
      <c r="L160" s="56">
        <v>2.0</v>
      </c>
      <c r="M160" s="59">
        <f t="shared" si="3"/>
        <v>54054.06</v>
      </c>
      <c r="N160" s="69">
        <v>31.0</v>
      </c>
      <c r="O160" s="62">
        <f t="shared" si="4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4">
        <v>153.0</v>
      </c>
      <c r="C161" s="56" t="s">
        <v>201</v>
      </c>
      <c r="D161" s="67">
        <v>27027.03</v>
      </c>
      <c r="E161" s="56">
        <v>0.0</v>
      </c>
      <c r="F161" s="59">
        <f t="shared" si="6"/>
        <v>0</v>
      </c>
      <c r="G161" s="56">
        <v>1.0</v>
      </c>
      <c r="H161" s="59">
        <f t="shared" si="1"/>
        <v>27027.03</v>
      </c>
      <c r="I161" s="39"/>
      <c r="J161" s="39"/>
      <c r="K161" s="60">
        <f t="shared" si="2"/>
        <v>0</v>
      </c>
      <c r="L161" s="56">
        <v>1.0</v>
      </c>
      <c r="M161" s="59">
        <f t="shared" si="3"/>
        <v>27027.03</v>
      </c>
      <c r="N161" s="69">
        <v>1.0</v>
      </c>
      <c r="O161" s="62">
        <f t="shared" si="4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4">
        <v>154.0</v>
      </c>
      <c r="C162" s="56" t="s">
        <v>202</v>
      </c>
      <c r="D162" s="67">
        <v>18276.58</v>
      </c>
      <c r="E162" s="56">
        <v>100.0</v>
      </c>
      <c r="F162" s="59">
        <f t="shared" si="6"/>
        <v>1827658</v>
      </c>
      <c r="G162" s="56">
        <v>100.0</v>
      </c>
      <c r="H162" s="59">
        <f t="shared" si="1"/>
        <v>1827658</v>
      </c>
      <c r="I162" s="39"/>
      <c r="J162" s="39"/>
      <c r="K162" s="60">
        <f t="shared" si="2"/>
        <v>0</v>
      </c>
      <c r="L162" s="39"/>
      <c r="M162" s="59">
        <f t="shared" si="3"/>
        <v>0</v>
      </c>
      <c r="N162" s="69">
        <v>100.0</v>
      </c>
      <c r="O162" s="62">
        <f t="shared" si="4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4">
        <v>155.0</v>
      </c>
      <c r="C163" s="56" t="s">
        <v>203</v>
      </c>
      <c r="D163" s="67">
        <v>80000.0</v>
      </c>
      <c r="E163" s="56">
        <v>148.7</v>
      </c>
      <c r="F163" s="59">
        <f t="shared" si="6"/>
        <v>11896000</v>
      </c>
      <c r="G163" s="56">
        <v>149.0</v>
      </c>
      <c r="H163" s="59">
        <f t="shared" si="1"/>
        <v>11920000</v>
      </c>
      <c r="I163" s="39"/>
      <c r="J163" s="39"/>
      <c r="K163" s="60">
        <f t="shared" si="2"/>
        <v>0</v>
      </c>
      <c r="L163" s="56">
        <v>0.3</v>
      </c>
      <c r="M163" s="59">
        <f t="shared" si="3"/>
        <v>24000</v>
      </c>
      <c r="N163" s="69">
        <v>149.0</v>
      </c>
      <c r="O163" s="62">
        <f t="shared" si="4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4">
        <v>156.0</v>
      </c>
      <c r="C164" s="56" t="s">
        <v>204</v>
      </c>
      <c r="D164" s="67">
        <v>40000.0</v>
      </c>
      <c r="E164" s="56">
        <v>250.0</v>
      </c>
      <c r="F164" s="59">
        <f t="shared" si="6"/>
        <v>10000000</v>
      </c>
      <c r="G164" s="56">
        <v>250.0</v>
      </c>
      <c r="H164" s="59">
        <f t="shared" si="1"/>
        <v>10000000</v>
      </c>
      <c r="I164" s="39"/>
      <c r="J164" s="39"/>
      <c r="K164" s="60">
        <f t="shared" si="2"/>
        <v>0</v>
      </c>
      <c r="L164" s="39"/>
      <c r="M164" s="59">
        <f t="shared" si="3"/>
        <v>0</v>
      </c>
      <c r="N164" s="69">
        <v>250.0</v>
      </c>
      <c r="O164" s="62">
        <f t="shared" si="4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4">
        <v>157.0</v>
      </c>
      <c r="C165" s="56" t="s">
        <v>205</v>
      </c>
      <c r="D165" s="67">
        <v>500.0</v>
      </c>
      <c r="E165" s="56">
        <v>243.0</v>
      </c>
      <c r="F165" s="59">
        <f t="shared" si="6"/>
        <v>121500</v>
      </c>
      <c r="G165" s="56">
        <v>243.0</v>
      </c>
      <c r="H165" s="59">
        <f t="shared" si="1"/>
        <v>121500</v>
      </c>
      <c r="I165" s="39"/>
      <c r="J165" s="39"/>
      <c r="K165" s="60">
        <f t="shared" si="2"/>
        <v>0</v>
      </c>
      <c r="L165" s="39"/>
      <c r="M165" s="59">
        <f t="shared" si="3"/>
        <v>0</v>
      </c>
      <c r="N165" s="69">
        <v>243.0</v>
      </c>
      <c r="O165" s="62">
        <f t="shared" si="4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4">
        <v>158.0</v>
      </c>
      <c r="C166" s="56" t="s">
        <v>206</v>
      </c>
      <c r="D166" s="67">
        <v>3000.0</v>
      </c>
      <c r="E166" s="56">
        <v>54.0</v>
      </c>
      <c r="F166" s="59">
        <f t="shared" si="6"/>
        <v>162000</v>
      </c>
      <c r="G166" s="56">
        <v>55.0</v>
      </c>
      <c r="H166" s="59">
        <f t="shared" si="1"/>
        <v>165000</v>
      </c>
      <c r="I166" s="39"/>
      <c r="J166" s="39"/>
      <c r="K166" s="60">
        <f t="shared" si="2"/>
        <v>0</v>
      </c>
      <c r="L166" s="56">
        <v>1.0</v>
      </c>
      <c r="M166" s="59">
        <f t="shared" si="3"/>
        <v>3000</v>
      </c>
      <c r="N166" s="69">
        <v>55.0</v>
      </c>
      <c r="O166" s="62">
        <f t="shared" si="4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4">
        <v>159.0</v>
      </c>
      <c r="C167" s="56" t="s">
        <v>207</v>
      </c>
      <c r="D167" s="67">
        <v>1792.86</v>
      </c>
      <c r="E167" s="56">
        <v>3624.0</v>
      </c>
      <c r="F167" s="59">
        <f t="shared" si="6"/>
        <v>6497324.64</v>
      </c>
      <c r="G167" s="56">
        <v>3624.0</v>
      </c>
      <c r="H167" s="59">
        <f t="shared" si="1"/>
        <v>6497324.64</v>
      </c>
      <c r="I167" s="39"/>
      <c r="J167" s="39"/>
      <c r="K167" s="60">
        <f t="shared" si="2"/>
        <v>0</v>
      </c>
      <c r="L167" s="39"/>
      <c r="M167" s="59">
        <f t="shared" si="3"/>
        <v>0</v>
      </c>
      <c r="N167" s="69">
        <v>3624.0</v>
      </c>
      <c r="O167" s="62">
        <f t="shared" si="4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4">
        <v>160.0</v>
      </c>
      <c r="C168" s="56" t="s">
        <v>208</v>
      </c>
      <c r="D168" s="67">
        <v>160.0</v>
      </c>
      <c r="E168" s="56">
        <v>965.0</v>
      </c>
      <c r="F168" s="59">
        <f t="shared" si="6"/>
        <v>154400</v>
      </c>
      <c r="G168" s="56">
        <v>965.0</v>
      </c>
      <c r="H168" s="59">
        <f t="shared" si="1"/>
        <v>154400</v>
      </c>
      <c r="I168" s="39"/>
      <c r="J168" s="39"/>
      <c r="K168" s="60">
        <f t="shared" si="2"/>
        <v>0</v>
      </c>
      <c r="L168" s="39"/>
      <c r="M168" s="59">
        <f t="shared" si="3"/>
        <v>0</v>
      </c>
      <c r="N168" s="69">
        <v>965.0</v>
      </c>
      <c r="O168" s="62">
        <f t="shared" si="4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4">
        <v>161.0</v>
      </c>
      <c r="C169" s="56" t="s">
        <v>209</v>
      </c>
      <c r="D169" s="67">
        <v>1000.0</v>
      </c>
      <c r="E169" s="56">
        <v>1569.0</v>
      </c>
      <c r="F169" s="59">
        <f t="shared" si="6"/>
        <v>1569000</v>
      </c>
      <c r="G169" s="56">
        <v>1569.0</v>
      </c>
      <c r="H169" s="59">
        <f t="shared" si="1"/>
        <v>1569000</v>
      </c>
      <c r="I169" s="39"/>
      <c r="J169" s="39"/>
      <c r="K169" s="60">
        <f t="shared" si="2"/>
        <v>0</v>
      </c>
      <c r="L169" s="39"/>
      <c r="M169" s="59">
        <f t="shared" si="3"/>
        <v>0</v>
      </c>
      <c r="N169" s="69">
        <v>1569.0</v>
      </c>
      <c r="O169" s="62">
        <f t="shared" si="4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4">
        <v>162.0</v>
      </c>
      <c r="C170" s="56" t="s">
        <v>210</v>
      </c>
      <c r="D170" s="67">
        <v>200.0</v>
      </c>
      <c r="E170" s="56">
        <v>473.0</v>
      </c>
      <c r="F170" s="59">
        <f t="shared" si="6"/>
        <v>94600</v>
      </c>
      <c r="G170" s="56">
        <v>512.0</v>
      </c>
      <c r="H170" s="59">
        <f t="shared" si="1"/>
        <v>102400</v>
      </c>
      <c r="I170" s="39"/>
      <c r="J170" s="39"/>
      <c r="K170" s="60">
        <f t="shared" si="2"/>
        <v>0</v>
      </c>
      <c r="L170" s="56">
        <v>39.0</v>
      </c>
      <c r="M170" s="59">
        <f t="shared" si="3"/>
        <v>7800</v>
      </c>
      <c r="N170" s="69">
        <v>512.0</v>
      </c>
      <c r="O170" s="62">
        <f t="shared" si="4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4">
        <v>163.0</v>
      </c>
      <c r="C171" s="56" t="s">
        <v>211</v>
      </c>
      <c r="D171" s="67">
        <v>6500.0</v>
      </c>
      <c r="E171" s="56">
        <v>12.0</v>
      </c>
      <c r="F171" s="59">
        <f t="shared" si="6"/>
        <v>78000</v>
      </c>
      <c r="G171" s="56">
        <v>12.0</v>
      </c>
      <c r="H171" s="59">
        <f t="shared" si="1"/>
        <v>78000</v>
      </c>
      <c r="I171" s="39"/>
      <c r="J171" s="39"/>
      <c r="K171" s="60">
        <f t="shared" si="2"/>
        <v>0</v>
      </c>
      <c r="L171" s="39"/>
      <c r="M171" s="59">
        <f t="shared" si="3"/>
        <v>0</v>
      </c>
      <c r="N171" s="69">
        <v>12.0</v>
      </c>
      <c r="O171" s="62">
        <f t="shared" si="4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4">
        <v>164.0</v>
      </c>
      <c r="C172" s="56" t="s">
        <v>212</v>
      </c>
      <c r="D172" s="67">
        <v>9000.0</v>
      </c>
      <c r="E172" s="56">
        <v>13.0</v>
      </c>
      <c r="F172" s="59">
        <f t="shared" si="6"/>
        <v>117000</v>
      </c>
      <c r="G172" s="56">
        <v>20.0</v>
      </c>
      <c r="H172" s="59">
        <f t="shared" si="1"/>
        <v>180000</v>
      </c>
      <c r="I172" s="39"/>
      <c r="J172" s="39"/>
      <c r="K172" s="60">
        <f t="shared" si="2"/>
        <v>0</v>
      </c>
      <c r="L172" s="56">
        <v>7.0</v>
      </c>
      <c r="M172" s="59">
        <f t="shared" si="3"/>
        <v>63000</v>
      </c>
      <c r="N172" s="69">
        <v>20.0</v>
      </c>
      <c r="O172" s="62">
        <f t="shared" si="4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4">
        <v>165.0</v>
      </c>
      <c r="C173" s="56" t="s">
        <v>213</v>
      </c>
      <c r="D173" s="67">
        <v>9000.0</v>
      </c>
      <c r="E173" s="56">
        <v>14.0</v>
      </c>
      <c r="F173" s="59">
        <f t="shared" si="6"/>
        <v>126000</v>
      </c>
      <c r="G173" s="56">
        <v>14.0</v>
      </c>
      <c r="H173" s="59">
        <f t="shared" si="1"/>
        <v>126000</v>
      </c>
      <c r="I173" s="39"/>
      <c r="J173" s="39"/>
      <c r="K173" s="60">
        <f t="shared" si="2"/>
        <v>0</v>
      </c>
      <c r="L173" s="39"/>
      <c r="M173" s="59">
        <f t="shared" si="3"/>
        <v>0</v>
      </c>
      <c r="N173" s="69">
        <v>14.0</v>
      </c>
      <c r="O173" s="62">
        <f t="shared" si="4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4">
        <v>166.0</v>
      </c>
      <c r="C174" s="56" t="s">
        <v>214</v>
      </c>
      <c r="D174" s="67">
        <v>684500.0</v>
      </c>
      <c r="E174" s="56">
        <v>13.0</v>
      </c>
      <c r="F174" s="59">
        <f t="shared" si="6"/>
        <v>8898500</v>
      </c>
      <c r="G174" s="56">
        <v>45.0</v>
      </c>
      <c r="H174" s="59">
        <f t="shared" si="1"/>
        <v>30802500</v>
      </c>
      <c r="I174" s="39"/>
      <c r="J174" s="39"/>
      <c r="K174" s="60">
        <f t="shared" si="2"/>
        <v>0</v>
      </c>
      <c r="L174" s="56">
        <v>32.0</v>
      </c>
      <c r="M174" s="59">
        <f t="shared" si="3"/>
        <v>21904000</v>
      </c>
      <c r="N174" s="69">
        <v>45.0</v>
      </c>
      <c r="O174" s="62">
        <f t="shared" si="4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4">
        <v>167.0</v>
      </c>
      <c r="C175" s="56" t="s">
        <v>215</v>
      </c>
      <c r="D175" s="67">
        <v>3500.0</v>
      </c>
      <c r="E175" s="56">
        <v>20.0</v>
      </c>
      <c r="F175" s="59">
        <f t="shared" si="6"/>
        <v>70000</v>
      </c>
      <c r="G175" s="56">
        <v>20.0</v>
      </c>
      <c r="H175" s="59">
        <f t="shared" si="1"/>
        <v>70000</v>
      </c>
      <c r="I175" s="39"/>
      <c r="J175" s="39"/>
      <c r="K175" s="60">
        <f t="shared" si="2"/>
        <v>0</v>
      </c>
      <c r="L175" s="39"/>
      <c r="M175" s="59">
        <f t="shared" si="3"/>
        <v>0</v>
      </c>
      <c r="N175" s="69">
        <v>20.0</v>
      </c>
      <c r="O175" s="62">
        <f t="shared" si="4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4">
        <v>168.0</v>
      </c>
      <c r="C176" s="56" t="s">
        <v>216</v>
      </c>
      <c r="D176" s="67">
        <v>172.885</v>
      </c>
      <c r="E176" s="56">
        <v>3900.0</v>
      </c>
      <c r="F176" s="59">
        <f t="shared" si="6"/>
        <v>674251.5</v>
      </c>
      <c r="G176" s="56">
        <v>3900.0</v>
      </c>
      <c r="H176" s="59">
        <f t="shared" si="1"/>
        <v>674251.5</v>
      </c>
      <c r="I176" s="39"/>
      <c r="J176" s="39"/>
      <c r="K176" s="60">
        <f t="shared" si="2"/>
        <v>0</v>
      </c>
      <c r="L176" s="39"/>
      <c r="M176" s="59">
        <f t="shared" si="3"/>
        <v>0</v>
      </c>
      <c r="N176" s="69">
        <v>3900.0</v>
      </c>
      <c r="O176" s="62">
        <f t="shared" si="4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4">
        <v>169.0</v>
      </c>
      <c r="C177" s="56" t="s">
        <v>217</v>
      </c>
      <c r="D177" s="67">
        <v>500.0</v>
      </c>
      <c r="E177" s="56">
        <v>398.0</v>
      </c>
      <c r="F177" s="59">
        <f t="shared" si="6"/>
        <v>199000</v>
      </c>
      <c r="G177" s="56">
        <v>414.0</v>
      </c>
      <c r="H177" s="59">
        <f t="shared" si="1"/>
        <v>207000</v>
      </c>
      <c r="I177" s="39"/>
      <c r="J177" s="39"/>
      <c r="K177" s="60">
        <f t="shared" si="2"/>
        <v>0</v>
      </c>
      <c r="L177" s="56">
        <v>16.0</v>
      </c>
      <c r="M177" s="59">
        <f t="shared" si="3"/>
        <v>8000</v>
      </c>
      <c r="N177" s="69">
        <v>414.0</v>
      </c>
      <c r="O177" s="62">
        <f t="shared" si="4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4">
        <v>170.0</v>
      </c>
      <c r="C178" s="56" t="s">
        <v>218</v>
      </c>
      <c r="D178" s="67">
        <v>712.14</v>
      </c>
      <c r="E178" s="56">
        <v>186.0</v>
      </c>
      <c r="F178" s="59">
        <f t="shared" si="6"/>
        <v>132458.04</v>
      </c>
      <c r="G178" s="56">
        <v>336.0</v>
      </c>
      <c r="H178" s="59">
        <f t="shared" si="1"/>
        <v>239279.04</v>
      </c>
      <c r="I178" s="39"/>
      <c r="J178" s="39"/>
      <c r="K178" s="60">
        <f t="shared" si="2"/>
        <v>0</v>
      </c>
      <c r="L178" s="56">
        <v>150.0</v>
      </c>
      <c r="M178" s="59">
        <f t="shared" si="3"/>
        <v>106821</v>
      </c>
      <c r="N178" s="69">
        <v>336.0</v>
      </c>
      <c r="O178" s="62">
        <f t="shared" si="4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4">
        <v>171.0</v>
      </c>
      <c r="C179" s="56" t="s">
        <v>219</v>
      </c>
      <c r="D179" s="67">
        <v>787.14</v>
      </c>
      <c r="E179" s="56">
        <v>458.0</v>
      </c>
      <c r="F179" s="59">
        <f t="shared" si="6"/>
        <v>360510.12</v>
      </c>
      <c r="G179" s="56">
        <v>458.0</v>
      </c>
      <c r="H179" s="59">
        <f t="shared" si="1"/>
        <v>360510.12</v>
      </c>
      <c r="I179" s="39"/>
      <c r="J179" s="39"/>
      <c r="K179" s="60">
        <f t="shared" si="2"/>
        <v>0</v>
      </c>
      <c r="L179" s="39"/>
      <c r="M179" s="59">
        <f t="shared" si="3"/>
        <v>0</v>
      </c>
      <c r="N179" s="69">
        <v>458.0</v>
      </c>
      <c r="O179" s="62">
        <f t="shared" si="4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4">
        <v>172.0</v>
      </c>
      <c r="C180" s="56" t="s">
        <v>220</v>
      </c>
      <c r="D180" s="67">
        <v>961.43</v>
      </c>
      <c r="E180" s="56">
        <v>83.0</v>
      </c>
      <c r="F180" s="59">
        <f t="shared" si="6"/>
        <v>79798.69</v>
      </c>
      <c r="G180" s="56">
        <v>383.0</v>
      </c>
      <c r="H180" s="59">
        <f t="shared" si="1"/>
        <v>368227.69</v>
      </c>
      <c r="I180" s="39"/>
      <c r="J180" s="39"/>
      <c r="K180" s="60">
        <f t="shared" si="2"/>
        <v>0</v>
      </c>
      <c r="L180" s="56">
        <v>300.0</v>
      </c>
      <c r="M180" s="59">
        <f t="shared" si="3"/>
        <v>288429</v>
      </c>
      <c r="N180" s="69">
        <v>383.0</v>
      </c>
      <c r="O180" s="62">
        <f t="shared" si="4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4">
        <v>173.0</v>
      </c>
      <c r="C181" s="56" t="s">
        <v>221</v>
      </c>
      <c r="D181" s="67">
        <v>585.0</v>
      </c>
      <c r="E181" s="56">
        <v>162.0</v>
      </c>
      <c r="F181" s="59">
        <f t="shared" si="6"/>
        <v>94770</v>
      </c>
      <c r="G181" s="56">
        <v>162.0</v>
      </c>
      <c r="H181" s="59">
        <f t="shared" si="1"/>
        <v>94770</v>
      </c>
      <c r="I181" s="39"/>
      <c r="J181" s="39"/>
      <c r="K181" s="60">
        <f t="shared" si="2"/>
        <v>0</v>
      </c>
      <c r="L181" s="39"/>
      <c r="M181" s="59">
        <f t="shared" si="3"/>
        <v>0</v>
      </c>
      <c r="N181" s="69">
        <v>162.0</v>
      </c>
      <c r="O181" s="62">
        <f t="shared" si="4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4">
        <v>174.0</v>
      </c>
      <c r="C182" s="56" t="s">
        <v>222</v>
      </c>
      <c r="D182" s="67">
        <v>360.0</v>
      </c>
      <c r="E182" s="56">
        <v>163.0</v>
      </c>
      <c r="F182" s="59">
        <f t="shared" si="6"/>
        <v>58680</v>
      </c>
      <c r="G182" s="56">
        <v>214.0</v>
      </c>
      <c r="H182" s="59">
        <f t="shared" si="1"/>
        <v>77040</v>
      </c>
      <c r="I182" s="39"/>
      <c r="J182" s="39"/>
      <c r="K182" s="60">
        <f t="shared" si="2"/>
        <v>0</v>
      </c>
      <c r="L182" s="56">
        <v>51.0</v>
      </c>
      <c r="M182" s="59">
        <f t="shared" si="3"/>
        <v>18360</v>
      </c>
      <c r="N182" s="69">
        <v>214.0</v>
      </c>
      <c r="O182" s="62">
        <f t="shared" si="4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4">
        <v>175.0</v>
      </c>
      <c r="C183" s="56" t="s">
        <v>223</v>
      </c>
      <c r="D183" s="67">
        <v>10360.36</v>
      </c>
      <c r="E183" s="56">
        <v>76.0</v>
      </c>
      <c r="F183" s="59">
        <f t="shared" si="6"/>
        <v>787387.36</v>
      </c>
      <c r="G183" s="56">
        <v>76.0</v>
      </c>
      <c r="H183" s="59">
        <f t="shared" si="1"/>
        <v>787387.36</v>
      </c>
      <c r="I183" s="39"/>
      <c r="J183" s="39"/>
      <c r="K183" s="60">
        <f t="shared" si="2"/>
        <v>0</v>
      </c>
      <c r="L183" s="39"/>
      <c r="M183" s="59">
        <f t="shared" si="3"/>
        <v>0</v>
      </c>
      <c r="N183" s="69">
        <v>76.0</v>
      </c>
      <c r="O183" s="62">
        <f t="shared" si="4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4">
        <v>176.0</v>
      </c>
      <c r="C184" s="56" t="s">
        <v>224</v>
      </c>
      <c r="D184" s="67">
        <v>11711.71</v>
      </c>
      <c r="E184" s="56">
        <v>23.0</v>
      </c>
      <c r="F184" s="59">
        <f t="shared" si="6"/>
        <v>269369.33</v>
      </c>
      <c r="G184" s="56">
        <v>23.0</v>
      </c>
      <c r="H184" s="59">
        <f t="shared" si="1"/>
        <v>269369.33</v>
      </c>
      <c r="I184" s="39"/>
      <c r="J184" s="39"/>
      <c r="K184" s="60">
        <f t="shared" si="2"/>
        <v>0</v>
      </c>
      <c r="L184" s="39"/>
      <c r="M184" s="59">
        <f t="shared" si="3"/>
        <v>0</v>
      </c>
      <c r="N184" s="69">
        <v>23.0</v>
      </c>
      <c r="O184" s="62">
        <f t="shared" si="4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4">
        <v>177.0</v>
      </c>
      <c r="C185" s="56" t="s">
        <v>225</v>
      </c>
      <c r="D185" s="67">
        <v>13063.06</v>
      </c>
      <c r="E185" s="56">
        <v>1.0</v>
      </c>
      <c r="F185" s="59">
        <f t="shared" si="6"/>
        <v>13063.06</v>
      </c>
      <c r="G185" s="56">
        <v>1.0</v>
      </c>
      <c r="H185" s="59">
        <f t="shared" si="1"/>
        <v>13063.06</v>
      </c>
      <c r="I185" s="39"/>
      <c r="J185" s="39"/>
      <c r="K185" s="60">
        <f t="shared" si="2"/>
        <v>0</v>
      </c>
      <c r="L185" s="39"/>
      <c r="M185" s="59">
        <f t="shared" si="3"/>
        <v>0</v>
      </c>
      <c r="N185" s="69">
        <v>1.0</v>
      </c>
      <c r="O185" s="62">
        <f t="shared" si="4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4">
        <v>178.0</v>
      </c>
      <c r="C186" s="56" t="s">
        <v>226</v>
      </c>
      <c r="D186" s="67">
        <v>16666.67</v>
      </c>
      <c r="E186" s="56">
        <v>1.0</v>
      </c>
      <c r="F186" s="59">
        <f t="shared" si="6"/>
        <v>16666.67</v>
      </c>
      <c r="G186" s="56">
        <v>1.0</v>
      </c>
      <c r="H186" s="59">
        <f t="shared" si="1"/>
        <v>16666.67</v>
      </c>
      <c r="I186" s="39"/>
      <c r="J186" s="39"/>
      <c r="K186" s="60">
        <f t="shared" si="2"/>
        <v>0</v>
      </c>
      <c r="L186" s="39"/>
      <c r="M186" s="59">
        <f t="shared" si="3"/>
        <v>0</v>
      </c>
      <c r="N186" s="69">
        <v>1.0</v>
      </c>
      <c r="O186" s="62">
        <f t="shared" si="4"/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4">
        <v>179.0</v>
      </c>
      <c r="C187" s="56" t="s">
        <v>227</v>
      </c>
      <c r="D187" s="67">
        <v>19369.37</v>
      </c>
      <c r="E187" s="56">
        <v>26.0</v>
      </c>
      <c r="F187" s="59">
        <f t="shared" si="6"/>
        <v>503603.62</v>
      </c>
      <c r="G187" s="56">
        <v>26.0</v>
      </c>
      <c r="H187" s="59">
        <f t="shared" si="1"/>
        <v>503603.62</v>
      </c>
      <c r="I187" s="39"/>
      <c r="J187" s="39"/>
      <c r="K187" s="60">
        <f t="shared" si="2"/>
        <v>0</v>
      </c>
      <c r="L187" s="39"/>
      <c r="M187" s="59">
        <f t="shared" si="3"/>
        <v>0</v>
      </c>
      <c r="N187" s="69">
        <v>26.0</v>
      </c>
      <c r="O187" s="62">
        <f t="shared" si="4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4">
        <v>180.0</v>
      </c>
      <c r="C188" s="56" t="s">
        <v>228</v>
      </c>
      <c r="D188" s="67">
        <v>21621.62</v>
      </c>
      <c r="E188" s="56">
        <v>2.0</v>
      </c>
      <c r="F188" s="59">
        <f t="shared" si="6"/>
        <v>43243.24</v>
      </c>
      <c r="G188" s="56">
        <v>2.0</v>
      </c>
      <c r="H188" s="59">
        <f t="shared" si="1"/>
        <v>43243.24</v>
      </c>
      <c r="I188" s="39"/>
      <c r="J188" s="39"/>
      <c r="K188" s="60">
        <f t="shared" si="2"/>
        <v>0</v>
      </c>
      <c r="L188" s="39"/>
      <c r="M188" s="59">
        <f t="shared" si="3"/>
        <v>0</v>
      </c>
      <c r="N188" s="69">
        <v>2.0</v>
      </c>
      <c r="O188" s="62">
        <f t="shared" si="4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4">
        <v>181.0</v>
      </c>
      <c r="C189" s="56" t="s">
        <v>229</v>
      </c>
      <c r="D189" s="67">
        <v>24324.32</v>
      </c>
      <c r="E189" s="56">
        <v>32.0</v>
      </c>
      <c r="F189" s="59">
        <f t="shared" si="6"/>
        <v>778378.24</v>
      </c>
      <c r="G189" s="56">
        <v>32.0</v>
      </c>
      <c r="H189" s="59">
        <f t="shared" si="1"/>
        <v>778378.24</v>
      </c>
      <c r="I189" s="39"/>
      <c r="J189" s="39"/>
      <c r="K189" s="60">
        <f t="shared" si="2"/>
        <v>0</v>
      </c>
      <c r="L189" s="39"/>
      <c r="M189" s="59">
        <f t="shared" si="3"/>
        <v>0</v>
      </c>
      <c r="N189" s="69">
        <v>32.0</v>
      </c>
      <c r="O189" s="62">
        <f t="shared" si="4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4">
        <v>182.0</v>
      </c>
      <c r="C190" s="56" t="s">
        <v>230</v>
      </c>
      <c r="D190" s="67">
        <v>27027.03</v>
      </c>
      <c r="E190" s="56">
        <v>4.0</v>
      </c>
      <c r="F190" s="59">
        <f t="shared" si="6"/>
        <v>108108.12</v>
      </c>
      <c r="G190" s="56">
        <v>4.0</v>
      </c>
      <c r="H190" s="59">
        <f t="shared" si="1"/>
        <v>108108.12</v>
      </c>
      <c r="I190" s="39"/>
      <c r="J190" s="39"/>
      <c r="K190" s="60">
        <f t="shared" si="2"/>
        <v>0</v>
      </c>
      <c r="L190" s="39"/>
      <c r="M190" s="59">
        <f t="shared" si="3"/>
        <v>0</v>
      </c>
      <c r="N190" s="69">
        <v>4.0</v>
      </c>
      <c r="O190" s="62">
        <f t="shared" si="4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4">
        <v>183.0</v>
      </c>
      <c r="C191" s="56" t="s">
        <v>231</v>
      </c>
      <c r="D191" s="67">
        <v>15701.41</v>
      </c>
      <c r="E191" s="56">
        <v>0.0</v>
      </c>
      <c r="F191" s="59">
        <f t="shared" si="6"/>
        <v>0</v>
      </c>
      <c r="G191" s="56">
        <v>0.0</v>
      </c>
      <c r="H191" s="59">
        <f t="shared" si="1"/>
        <v>0</v>
      </c>
      <c r="I191" s="39"/>
      <c r="J191" s="39"/>
      <c r="K191" s="60">
        <f t="shared" si="2"/>
        <v>0</v>
      </c>
      <c r="L191" s="39"/>
      <c r="M191" s="59">
        <f t="shared" si="3"/>
        <v>0</v>
      </c>
      <c r="N191" s="69">
        <v>0.0</v>
      </c>
      <c r="O191" s="62">
        <f t="shared" si="4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4">
        <v>184.0</v>
      </c>
      <c r="C192" s="56" t="s">
        <v>232</v>
      </c>
      <c r="D192" s="67">
        <v>15701.41</v>
      </c>
      <c r="E192" s="56">
        <v>1.0</v>
      </c>
      <c r="F192" s="59">
        <f t="shared" si="6"/>
        <v>15701.41</v>
      </c>
      <c r="G192" s="56">
        <v>1.0</v>
      </c>
      <c r="H192" s="59">
        <f t="shared" si="1"/>
        <v>15701.41</v>
      </c>
      <c r="I192" s="39"/>
      <c r="J192" s="39"/>
      <c r="K192" s="60">
        <f t="shared" si="2"/>
        <v>0</v>
      </c>
      <c r="L192" s="39"/>
      <c r="M192" s="59">
        <f t="shared" si="3"/>
        <v>0</v>
      </c>
      <c r="N192" s="69">
        <v>1.0</v>
      </c>
      <c r="O192" s="62">
        <f t="shared" si="4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4">
        <v>185.0</v>
      </c>
      <c r="C193" s="56" t="s">
        <v>233</v>
      </c>
      <c r="D193" s="67">
        <v>35.0</v>
      </c>
      <c r="E193" s="56">
        <v>663.0</v>
      </c>
      <c r="F193" s="59">
        <f t="shared" si="6"/>
        <v>23205</v>
      </c>
      <c r="G193" s="56">
        <v>663.0</v>
      </c>
      <c r="H193" s="59">
        <f t="shared" si="1"/>
        <v>23205</v>
      </c>
      <c r="I193" s="39"/>
      <c r="J193" s="39"/>
      <c r="K193" s="60">
        <f t="shared" si="2"/>
        <v>0</v>
      </c>
      <c r="L193" s="39"/>
      <c r="M193" s="59">
        <f t="shared" si="3"/>
        <v>0</v>
      </c>
      <c r="N193" s="69">
        <v>663.0</v>
      </c>
      <c r="O193" s="62">
        <f t="shared" si="4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4">
        <v>186.0</v>
      </c>
      <c r="C194" s="56" t="s">
        <v>234</v>
      </c>
      <c r="D194" s="67">
        <v>60.0</v>
      </c>
      <c r="E194" s="56">
        <v>814.0</v>
      </c>
      <c r="F194" s="59">
        <f t="shared" si="6"/>
        <v>48840</v>
      </c>
      <c r="G194" s="56">
        <v>814.0</v>
      </c>
      <c r="H194" s="59">
        <f t="shared" si="1"/>
        <v>48840</v>
      </c>
      <c r="I194" s="39"/>
      <c r="J194" s="39"/>
      <c r="K194" s="60">
        <f t="shared" si="2"/>
        <v>0</v>
      </c>
      <c r="L194" s="39"/>
      <c r="M194" s="59">
        <f t="shared" si="3"/>
        <v>0</v>
      </c>
      <c r="N194" s="69">
        <v>814.0</v>
      </c>
      <c r="O194" s="62">
        <f t="shared" si="4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4">
        <v>187.0</v>
      </c>
      <c r="C195" s="56" t="s">
        <v>235</v>
      </c>
      <c r="D195" s="67">
        <v>12500.0</v>
      </c>
      <c r="E195" s="56">
        <v>25.0</v>
      </c>
      <c r="F195" s="59">
        <f t="shared" si="6"/>
        <v>312500</v>
      </c>
      <c r="G195" s="56">
        <v>25.0</v>
      </c>
      <c r="H195" s="59">
        <f t="shared" si="1"/>
        <v>312500</v>
      </c>
      <c r="I195" s="39"/>
      <c r="J195" s="39"/>
      <c r="K195" s="60">
        <f t="shared" si="2"/>
        <v>0</v>
      </c>
      <c r="L195" s="39"/>
      <c r="M195" s="59">
        <f t="shared" si="3"/>
        <v>0</v>
      </c>
      <c r="N195" s="69">
        <v>25.0</v>
      </c>
      <c r="O195" s="62">
        <f t="shared" si="4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4">
        <v>188.0</v>
      </c>
      <c r="C196" s="56" t="s">
        <v>236</v>
      </c>
      <c r="D196" s="67">
        <v>5607.14</v>
      </c>
      <c r="E196" s="56">
        <v>114.0</v>
      </c>
      <c r="F196" s="59">
        <f t="shared" si="6"/>
        <v>639213.96</v>
      </c>
      <c r="G196" s="56">
        <v>108.0</v>
      </c>
      <c r="H196" s="59">
        <f t="shared" si="1"/>
        <v>605571.12</v>
      </c>
      <c r="I196" s="39"/>
      <c r="J196" s="56">
        <v>6.0</v>
      </c>
      <c r="K196" s="60">
        <f t="shared" si="2"/>
        <v>33642.84</v>
      </c>
      <c r="L196" s="39"/>
      <c r="M196" s="59">
        <f t="shared" si="3"/>
        <v>0</v>
      </c>
      <c r="N196" s="69">
        <v>108.0</v>
      </c>
      <c r="O196" s="62">
        <f t="shared" si="4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4">
        <v>189.0</v>
      </c>
      <c r="C197" s="56" t="s">
        <v>237</v>
      </c>
      <c r="D197" s="67">
        <v>15701.41</v>
      </c>
      <c r="E197" s="56">
        <v>8.0</v>
      </c>
      <c r="F197" s="59">
        <f t="shared" si="6"/>
        <v>125611.28</v>
      </c>
      <c r="G197" s="56">
        <v>12.0</v>
      </c>
      <c r="H197" s="59">
        <f t="shared" si="1"/>
        <v>188416.92</v>
      </c>
      <c r="I197" s="39"/>
      <c r="J197" s="56"/>
      <c r="K197" s="60">
        <f t="shared" si="2"/>
        <v>0</v>
      </c>
      <c r="L197" s="56">
        <v>4.0</v>
      </c>
      <c r="M197" s="59">
        <f t="shared" si="3"/>
        <v>62805.64</v>
      </c>
      <c r="N197" s="69">
        <v>12.0</v>
      </c>
      <c r="O197" s="62">
        <f t="shared" si="4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4">
        <v>190.0</v>
      </c>
      <c r="C198" s="56" t="s">
        <v>238</v>
      </c>
      <c r="D198" s="67">
        <v>26576.58</v>
      </c>
      <c r="E198" s="56">
        <v>2.0</v>
      </c>
      <c r="F198" s="59">
        <f t="shared" si="6"/>
        <v>53153.16</v>
      </c>
      <c r="G198" s="56">
        <v>2.0</v>
      </c>
      <c r="H198" s="59">
        <f t="shared" si="1"/>
        <v>53153.16</v>
      </c>
      <c r="I198" s="39"/>
      <c r="J198" s="39"/>
      <c r="K198" s="60">
        <f t="shared" si="2"/>
        <v>0</v>
      </c>
      <c r="L198" s="39"/>
      <c r="M198" s="59">
        <f t="shared" si="3"/>
        <v>0</v>
      </c>
      <c r="N198" s="69">
        <v>2.0</v>
      </c>
      <c r="O198" s="62">
        <f t="shared" si="4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4">
        <v>191.0</v>
      </c>
      <c r="C199" s="56" t="s">
        <v>239</v>
      </c>
      <c r="D199" s="67">
        <v>25000.0</v>
      </c>
      <c r="E199" s="56">
        <v>2.0</v>
      </c>
      <c r="F199" s="59">
        <f t="shared" si="6"/>
        <v>50000</v>
      </c>
      <c r="G199" s="56">
        <v>0.0</v>
      </c>
      <c r="H199" s="59">
        <f t="shared" si="1"/>
        <v>0</v>
      </c>
      <c r="I199" s="39"/>
      <c r="J199" s="56">
        <v>2.0</v>
      </c>
      <c r="K199" s="60">
        <f t="shared" si="2"/>
        <v>50000</v>
      </c>
      <c r="L199" s="39"/>
      <c r="M199" s="59">
        <f t="shared" si="3"/>
        <v>0</v>
      </c>
      <c r="N199" s="69">
        <v>0.0</v>
      </c>
      <c r="O199" s="62">
        <f t="shared" si="4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4">
        <v>192.0</v>
      </c>
      <c r="C200" s="56" t="s">
        <v>240</v>
      </c>
      <c r="D200" s="67">
        <v>107.86</v>
      </c>
      <c r="E200" s="56">
        <v>2694.0</v>
      </c>
      <c r="F200" s="59">
        <f t="shared" si="6"/>
        <v>290574.84</v>
      </c>
      <c r="G200" s="56">
        <v>2850.0</v>
      </c>
      <c r="H200" s="59">
        <f t="shared" si="1"/>
        <v>307401</v>
      </c>
      <c r="I200" s="39"/>
      <c r="J200" s="39"/>
      <c r="K200" s="60">
        <f t="shared" si="2"/>
        <v>0</v>
      </c>
      <c r="L200" s="56">
        <v>156.0</v>
      </c>
      <c r="M200" s="59">
        <f t="shared" si="3"/>
        <v>16826.16</v>
      </c>
      <c r="N200" s="69">
        <v>2694.0</v>
      </c>
      <c r="O200" s="62">
        <f t="shared" si="4"/>
        <v>-156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4">
        <v>193.0</v>
      </c>
      <c r="C201" s="56" t="s">
        <v>241</v>
      </c>
      <c r="D201" s="67">
        <v>70.0</v>
      </c>
      <c r="E201" s="56">
        <v>6029.0</v>
      </c>
      <c r="F201" s="59">
        <f t="shared" si="6"/>
        <v>422030</v>
      </c>
      <c r="G201" s="56">
        <v>5500.0</v>
      </c>
      <c r="H201" s="59">
        <f t="shared" si="1"/>
        <v>385000</v>
      </c>
      <c r="I201" s="39"/>
      <c r="J201" s="56">
        <v>529.0</v>
      </c>
      <c r="K201" s="60">
        <f t="shared" si="2"/>
        <v>37030</v>
      </c>
      <c r="L201" s="39"/>
      <c r="M201" s="59">
        <f t="shared" si="3"/>
        <v>0</v>
      </c>
      <c r="N201" s="69">
        <v>5500.0</v>
      </c>
      <c r="O201" s="62">
        <f t="shared" si="4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4">
        <v>194.0</v>
      </c>
      <c r="C202" s="56" t="s">
        <v>242</v>
      </c>
      <c r="D202" s="67">
        <v>148.71</v>
      </c>
      <c r="E202" s="56">
        <v>2506.0</v>
      </c>
      <c r="F202" s="59">
        <f t="shared" si="6"/>
        <v>372667.26</v>
      </c>
      <c r="G202" s="56">
        <v>2616.0</v>
      </c>
      <c r="H202" s="59">
        <f t="shared" si="1"/>
        <v>389025.36</v>
      </c>
      <c r="I202" s="39"/>
      <c r="J202" s="39"/>
      <c r="K202" s="60">
        <f t="shared" si="2"/>
        <v>0</v>
      </c>
      <c r="L202" s="56">
        <v>110.0</v>
      </c>
      <c r="M202" s="59">
        <f t="shared" si="3"/>
        <v>16358.1</v>
      </c>
      <c r="N202" s="69">
        <v>2616.0</v>
      </c>
      <c r="O202" s="62">
        <f t="shared" si="4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4">
        <v>195.0</v>
      </c>
      <c r="C203" s="56" t="s">
        <v>243</v>
      </c>
      <c r="D203" s="67">
        <v>310.43</v>
      </c>
      <c r="E203" s="56">
        <v>2928.0</v>
      </c>
      <c r="F203" s="59">
        <f t="shared" si="6"/>
        <v>908939.04</v>
      </c>
      <c r="G203" s="56">
        <v>2978.0</v>
      </c>
      <c r="H203" s="59">
        <f t="shared" si="1"/>
        <v>924460.54</v>
      </c>
      <c r="I203" s="39"/>
      <c r="J203" s="39"/>
      <c r="K203" s="60">
        <f t="shared" si="2"/>
        <v>0</v>
      </c>
      <c r="L203" s="56">
        <v>50.0</v>
      </c>
      <c r="M203" s="59">
        <f t="shared" si="3"/>
        <v>15521.5</v>
      </c>
      <c r="N203" s="69">
        <v>2978.0</v>
      </c>
      <c r="O203" s="62">
        <f t="shared" si="4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4">
        <v>196.0</v>
      </c>
      <c r="C204" s="56" t="s">
        <v>244</v>
      </c>
      <c r="D204" s="67">
        <v>51.0</v>
      </c>
      <c r="E204" s="56">
        <v>1908.0</v>
      </c>
      <c r="F204" s="59">
        <f t="shared" si="6"/>
        <v>97308</v>
      </c>
      <c r="G204" s="56">
        <v>1908.0</v>
      </c>
      <c r="H204" s="59">
        <f t="shared" si="1"/>
        <v>97308</v>
      </c>
      <c r="I204" s="39"/>
      <c r="J204" s="39"/>
      <c r="K204" s="60">
        <f t="shared" si="2"/>
        <v>0</v>
      </c>
      <c r="L204" s="39"/>
      <c r="M204" s="59">
        <f t="shared" si="3"/>
        <v>0</v>
      </c>
      <c r="N204" s="69">
        <v>1908.0</v>
      </c>
      <c r="O204" s="62">
        <f t="shared" si="4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4">
        <v>197.0</v>
      </c>
      <c r="C205" s="56" t="s">
        <v>245</v>
      </c>
      <c r="D205" s="67">
        <v>58.32</v>
      </c>
      <c r="E205" s="56">
        <v>4592.0</v>
      </c>
      <c r="F205" s="59">
        <f t="shared" si="6"/>
        <v>267805.44</v>
      </c>
      <c r="G205" s="56">
        <v>4592.0</v>
      </c>
      <c r="H205" s="59">
        <f t="shared" si="1"/>
        <v>267805.44</v>
      </c>
      <c r="I205" s="39"/>
      <c r="J205" s="39"/>
      <c r="K205" s="60">
        <f t="shared" si="2"/>
        <v>0</v>
      </c>
      <c r="L205" s="39"/>
      <c r="M205" s="59">
        <f t="shared" si="3"/>
        <v>0</v>
      </c>
      <c r="N205" s="69">
        <v>4592.0</v>
      </c>
      <c r="O205" s="62">
        <f t="shared" si="4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4">
        <v>198.0</v>
      </c>
      <c r="C206" s="56" t="s">
        <v>246</v>
      </c>
      <c r="D206" s="67">
        <v>50.29</v>
      </c>
      <c r="E206" s="56">
        <v>4598.0</v>
      </c>
      <c r="F206" s="59">
        <f t="shared" si="6"/>
        <v>231233.42</v>
      </c>
      <c r="G206" s="56">
        <v>4718.0</v>
      </c>
      <c r="H206" s="59">
        <f t="shared" si="1"/>
        <v>237268.22</v>
      </c>
      <c r="I206" s="39"/>
      <c r="J206" s="39"/>
      <c r="K206" s="60">
        <f t="shared" si="2"/>
        <v>0</v>
      </c>
      <c r="L206" s="56">
        <v>120.0</v>
      </c>
      <c r="M206" s="59">
        <f t="shared" si="3"/>
        <v>6034.8</v>
      </c>
      <c r="N206" s="69">
        <v>4718.0</v>
      </c>
      <c r="O206" s="62">
        <f t="shared" si="4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4">
        <v>199.0</v>
      </c>
      <c r="C207" s="56" t="s">
        <v>247</v>
      </c>
      <c r="D207" s="67">
        <v>119.0</v>
      </c>
      <c r="E207" s="56">
        <v>351.0</v>
      </c>
      <c r="F207" s="59">
        <f t="shared" si="6"/>
        <v>41769</v>
      </c>
      <c r="G207" s="56">
        <v>351.0</v>
      </c>
      <c r="H207" s="59">
        <f t="shared" si="1"/>
        <v>41769</v>
      </c>
      <c r="I207" s="39"/>
      <c r="J207" s="39"/>
      <c r="K207" s="60">
        <f t="shared" si="2"/>
        <v>0</v>
      </c>
      <c r="L207" s="39"/>
      <c r="M207" s="59">
        <f t="shared" si="3"/>
        <v>0</v>
      </c>
      <c r="N207" s="69">
        <v>351.0</v>
      </c>
      <c r="O207" s="62">
        <f t="shared" si="4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4">
        <v>200.0</v>
      </c>
      <c r="C208" s="56" t="s">
        <v>248</v>
      </c>
      <c r="D208" s="67">
        <v>81.43</v>
      </c>
      <c r="E208" s="56">
        <v>4089.0</v>
      </c>
      <c r="F208" s="59">
        <f t="shared" si="6"/>
        <v>332967.27</v>
      </c>
      <c r="G208" s="56">
        <v>4089.0</v>
      </c>
      <c r="H208" s="59">
        <f t="shared" si="1"/>
        <v>332967.27</v>
      </c>
      <c r="I208" s="39"/>
      <c r="J208" s="39"/>
      <c r="K208" s="60">
        <f t="shared" si="2"/>
        <v>0</v>
      </c>
      <c r="L208" s="39"/>
      <c r="M208" s="59">
        <f t="shared" si="3"/>
        <v>0</v>
      </c>
      <c r="N208" s="69">
        <v>4089.0</v>
      </c>
      <c r="O208" s="62">
        <f t="shared" si="4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4">
        <v>201.0</v>
      </c>
      <c r="C209" s="56" t="s">
        <v>249</v>
      </c>
      <c r="D209" s="67">
        <v>72.0</v>
      </c>
      <c r="E209" s="56">
        <v>4.0</v>
      </c>
      <c r="F209" s="59">
        <f t="shared" si="6"/>
        <v>288</v>
      </c>
      <c r="G209" s="56">
        <v>4.0</v>
      </c>
      <c r="H209" s="59">
        <f t="shared" si="1"/>
        <v>288</v>
      </c>
      <c r="I209" s="39"/>
      <c r="J209" s="39"/>
      <c r="K209" s="60">
        <f t="shared" si="2"/>
        <v>0</v>
      </c>
      <c r="L209" s="39"/>
      <c r="M209" s="59">
        <f t="shared" si="3"/>
        <v>0</v>
      </c>
      <c r="N209" s="69">
        <v>4.0</v>
      </c>
      <c r="O209" s="62">
        <f t="shared" si="4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4">
        <v>202.0</v>
      </c>
      <c r="C210" s="56" t="s">
        <v>250</v>
      </c>
      <c r="D210" s="67">
        <v>51.0</v>
      </c>
      <c r="E210" s="56">
        <v>3719.0</v>
      </c>
      <c r="F210" s="59">
        <f t="shared" si="6"/>
        <v>189669</v>
      </c>
      <c r="G210" s="56">
        <v>3719.0</v>
      </c>
      <c r="H210" s="59">
        <f t="shared" si="1"/>
        <v>189669</v>
      </c>
      <c r="I210" s="39"/>
      <c r="J210" s="39"/>
      <c r="K210" s="60">
        <f t="shared" si="2"/>
        <v>0</v>
      </c>
      <c r="L210" s="39"/>
      <c r="M210" s="59">
        <f t="shared" si="3"/>
        <v>0</v>
      </c>
      <c r="N210" s="69">
        <v>3719.0</v>
      </c>
      <c r="O210" s="62">
        <f t="shared" si="4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4">
        <v>203.0</v>
      </c>
      <c r="C211" s="56" t="s">
        <v>251</v>
      </c>
      <c r="D211" s="67">
        <v>89.0</v>
      </c>
      <c r="E211" s="56">
        <v>1705.0</v>
      </c>
      <c r="F211" s="59">
        <f t="shared" si="6"/>
        <v>151745</v>
      </c>
      <c r="G211" s="56">
        <v>1705.0</v>
      </c>
      <c r="H211" s="59">
        <f t="shared" si="1"/>
        <v>151745</v>
      </c>
      <c r="I211" s="39"/>
      <c r="J211" s="39"/>
      <c r="K211" s="60">
        <f t="shared" si="2"/>
        <v>0</v>
      </c>
      <c r="L211" s="39"/>
      <c r="M211" s="59">
        <f t="shared" si="3"/>
        <v>0</v>
      </c>
      <c r="N211" s="69">
        <v>1705.0</v>
      </c>
      <c r="O211" s="62">
        <f t="shared" si="4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4">
        <v>204.0</v>
      </c>
      <c r="C212" s="56" t="s">
        <v>252</v>
      </c>
      <c r="D212" s="67">
        <v>89.71</v>
      </c>
      <c r="E212" s="56">
        <v>5433.0</v>
      </c>
      <c r="F212" s="59">
        <f t="shared" si="6"/>
        <v>487394.43</v>
      </c>
      <c r="G212" s="56">
        <v>5200.0</v>
      </c>
      <c r="H212" s="59">
        <f t="shared" si="1"/>
        <v>466492</v>
      </c>
      <c r="I212" s="39"/>
      <c r="J212" s="56">
        <v>233.0</v>
      </c>
      <c r="K212" s="60">
        <f t="shared" si="2"/>
        <v>20902.43</v>
      </c>
      <c r="L212" s="39"/>
      <c r="M212" s="59">
        <f t="shared" si="3"/>
        <v>0</v>
      </c>
      <c r="N212" s="69">
        <v>5200.0</v>
      </c>
      <c r="O212" s="62">
        <f t="shared" si="4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4">
        <v>205.0</v>
      </c>
      <c r="C213" s="56" t="s">
        <v>253</v>
      </c>
      <c r="D213" s="67">
        <v>1650.0</v>
      </c>
      <c r="E213" s="56">
        <v>32.0</v>
      </c>
      <c r="F213" s="59">
        <f t="shared" si="6"/>
        <v>52800</v>
      </c>
      <c r="G213" s="56">
        <v>32.0</v>
      </c>
      <c r="H213" s="59">
        <f t="shared" si="1"/>
        <v>52800</v>
      </c>
      <c r="I213" s="39"/>
      <c r="J213" s="39"/>
      <c r="K213" s="60">
        <f t="shared" si="2"/>
        <v>0</v>
      </c>
      <c r="L213" s="39"/>
      <c r="M213" s="59">
        <f t="shared" si="3"/>
        <v>0</v>
      </c>
      <c r="N213" s="69">
        <v>32.0</v>
      </c>
      <c r="O213" s="62">
        <f t="shared" si="4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54">
        <v>206.0</v>
      </c>
      <c r="C214" s="56" t="s">
        <v>254</v>
      </c>
      <c r="D214" s="67">
        <v>5357.0</v>
      </c>
      <c r="E214" s="56">
        <v>67.0</v>
      </c>
      <c r="F214" s="59">
        <f t="shared" si="6"/>
        <v>358919</v>
      </c>
      <c r="G214" s="56">
        <v>158.0</v>
      </c>
      <c r="H214" s="59">
        <f t="shared" si="1"/>
        <v>846406</v>
      </c>
      <c r="I214" s="39"/>
      <c r="J214" s="39"/>
      <c r="K214" s="60">
        <f t="shared" si="2"/>
        <v>0</v>
      </c>
      <c r="L214" s="56">
        <v>91.0</v>
      </c>
      <c r="M214" s="59">
        <f t="shared" si="3"/>
        <v>487487</v>
      </c>
      <c r="N214" s="69">
        <v>158.0</v>
      </c>
      <c r="O214" s="62">
        <f t="shared" si="4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4">
        <v>207.0</v>
      </c>
      <c r="C215" s="56" t="s">
        <v>255</v>
      </c>
      <c r="D215" s="67">
        <v>450.0</v>
      </c>
      <c r="E215" s="56">
        <v>244.0</v>
      </c>
      <c r="F215" s="59">
        <f t="shared" si="6"/>
        <v>109800</v>
      </c>
      <c r="G215" s="56">
        <v>244.0</v>
      </c>
      <c r="H215" s="59">
        <f t="shared" si="1"/>
        <v>109800</v>
      </c>
      <c r="I215" s="39"/>
      <c r="J215" s="39"/>
      <c r="K215" s="60">
        <f t="shared" si="2"/>
        <v>0</v>
      </c>
      <c r="L215" s="39"/>
      <c r="M215" s="59">
        <f t="shared" si="3"/>
        <v>0</v>
      </c>
      <c r="N215" s="69">
        <v>244.0</v>
      </c>
      <c r="O215" s="62">
        <f t="shared" si="4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4">
        <v>208.0</v>
      </c>
      <c r="C216" s="56" t="s">
        <v>256</v>
      </c>
      <c r="D216" s="67">
        <v>315.32</v>
      </c>
      <c r="E216" s="56">
        <v>433.0</v>
      </c>
      <c r="F216" s="59">
        <f t="shared" si="6"/>
        <v>136533.56</v>
      </c>
      <c r="G216" s="56">
        <v>441.0</v>
      </c>
      <c r="H216" s="59">
        <f t="shared" si="1"/>
        <v>139056.12</v>
      </c>
      <c r="I216" s="39"/>
      <c r="J216" s="39"/>
      <c r="K216" s="60">
        <f t="shared" si="2"/>
        <v>0</v>
      </c>
      <c r="L216" s="56">
        <v>8.0</v>
      </c>
      <c r="M216" s="59">
        <f t="shared" si="3"/>
        <v>2522.56</v>
      </c>
      <c r="N216" s="69">
        <v>441.0</v>
      </c>
      <c r="O216" s="62">
        <f t="shared" si="4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4">
        <v>209.0</v>
      </c>
      <c r="C217" s="56" t="s">
        <v>257</v>
      </c>
      <c r="D217" s="67">
        <v>9428.83</v>
      </c>
      <c r="E217" s="56">
        <v>433.0</v>
      </c>
      <c r="F217" s="59">
        <f t="shared" si="6"/>
        <v>4082683.39</v>
      </c>
      <c r="G217" s="56">
        <v>433.0</v>
      </c>
      <c r="H217" s="59">
        <f t="shared" si="1"/>
        <v>4082683.39</v>
      </c>
      <c r="I217" s="39"/>
      <c r="J217" s="39"/>
      <c r="K217" s="60">
        <f t="shared" si="2"/>
        <v>0</v>
      </c>
      <c r="L217" s="39"/>
      <c r="M217" s="59">
        <f t="shared" si="3"/>
        <v>0</v>
      </c>
      <c r="N217" s="69">
        <v>433.0</v>
      </c>
      <c r="O217" s="62">
        <f t="shared" si="4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4">
        <v>210.0</v>
      </c>
      <c r="C218" s="56" t="s">
        <v>258</v>
      </c>
      <c r="D218" s="67">
        <v>3500.0</v>
      </c>
      <c r="E218" s="56">
        <v>2.0</v>
      </c>
      <c r="F218" s="59">
        <f t="shared" si="6"/>
        <v>7000</v>
      </c>
      <c r="G218" s="56">
        <v>2.0</v>
      </c>
      <c r="H218" s="59">
        <f t="shared" si="1"/>
        <v>7000</v>
      </c>
      <c r="I218" s="39"/>
      <c r="J218" s="39"/>
      <c r="K218" s="60">
        <f t="shared" si="2"/>
        <v>0</v>
      </c>
      <c r="L218" s="39"/>
      <c r="M218" s="59">
        <f t="shared" si="3"/>
        <v>0</v>
      </c>
      <c r="N218" s="69">
        <v>2.0</v>
      </c>
      <c r="O218" s="62">
        <f t="shared" si="4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4">
        <v>211.0</v>
      </c>
      <c r="C219" s="56" t="s">
        <v>259</v>
      </c>
      <c r="D219" s="67">
        <v>3500.0</v>
      </c>
      <c r="E219" s="56">
        <v>156.0</v>
      </c>
      <c r="F219" s="59">
        <f t="shared" si="6"/>
        <v>546000</v>
      </c>
      <c r="G219" s="56">
        <v>156.0</v>
      </c>
      <c r="H219" s="59">
        <f t="shared" si="1"/>
        <v>546000</v>
      </c>
      <c r="I219" s="39"/>
      <c r="J219" s="39"/>
      <c r="K219" s="60">
        <f t="shared" si="2"/>
        <v>0</v>
      </c>
      <c r="L219" s="39"/>
      <c r="M219" s="59">
        <f t="shared" si="3"/>
        <v>0</v>
      </c>
      <c r="N219" s="69">
        <v>156.0</v>
      </c>
      <c r="O219" s="62">
        <f t="shared" si="4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4">
        <v>212.0</v>
      </c>
      <c r="C220" s="56" t="s">
        <v>260</v>
      </c>
      <c r="D220" s="67">
        <v>32500.0</v>
      </c>
      <c r="E220" s="56">
        <v>7.0</v>
      </c>
      <c r="F220" s="59">
        <f t="shared" si="6"/>
        <v>227500</v>
      </c>
      <c r="G220" s="56">
        <v>24.0</v>
      </c>
      <c r="H220" s="59">
        <f t="shared" si="1"/>
        <v>780000</v>
      </c>
      <c r="I220" s="39"/>
      <c r="J220" s="39"/>
      <c r="K220" s="60">
        <f t="shared" si="2"/>
        <v>0</v>
      </c>
      <c r="L220" s="56">
        <v>17.0</v>
      </c>
      <c r="M220" s="59">
        <f t="shared" si="3"/>
        <v>552500</v>
      </c>
      <c r="N220" s="69">
        <f>17+7</f>
        <v>24</v>
      </c>
      <c r="O220" s="62">
        <f t="shared" si="4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4">
        <v>213.0</v>
      </c>
      <c r="C221" s="56" t="s">
        <v>261</v>
      </c>
      <c r="D221" s="67">
        <v>19500.0</v>
      </c>
      <c r="E221" s="56">
        <v>10.0</v>
      </c>
      <c r="F221" s="59">
        <f t="shared" si="6"/>
        <v>195000</v>
      </c>
      <c r="G221" s="56">
        <v>10.0</v>
      </c>
      <c r="H221" s="59">
        <f t="shared" si="1"/>
        <v>195000</v>
      </c>
      <c r="I221" s="39"/>
      <c r="J221" s="39"/>
      <c r="K221" s="60">
        <f t="shared" si="2"/>
        <v>0</v>
      </c>
      <c r="L221" s="39"/>
      <c r="M221" s="59">
        <f t="shared" si="3"/>
        <v>0</v>
      </c>
      <c r="N221" s="69">
        <v>10.0</v>
      </c>
      <c r="O221" s="62">
        <f t="shared" si="4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4">
        <v>214.0</v>
      </c>
      <c r="C222" s="56" t="s">
        <v>262</v>
      </c>
      <c r="D222" s="67">
        <v>25000.0</v>
      </c>
      <c r="E222" s="56">
        <v>2.0</v>
      </c>
      <c r="F222" s="59">
        <f t="shared" si="6"/>
        <v>50000</v>
      </c>
      <c r="G222" s="56">
        <v>2.0</v>
      </c>
      <c r="H222" s="59">
        <f t="shared" si="1"/>
        <v>50000</v>
      </c>
      <c r="I222" s="39"/>
      <c r="J222" s="39"/>
      <c r="K222" s="60">
        <f t="shared" si="2"/>
        <v>0</v>
      </c>
      <c r="L222" s="39"/>
      <c r="M222" s="59">
        <f t="shared" si="3"/>
        <v>0</v>
      </c>
      <c r="N222" s="69">
        <v>2.0</v>
      </c>
      <c r="O222" s="62">
        <f t="shared" si="4"/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4">
        <v>215.0</v>
      </c>
      <c r="C223" s="56" t="s">
        <v>263</v>
      </c>
      <c r="D223" s="67">
        <v>27000.0</v>
      </c>
      <c r="E223" s="56">
        <v>0.0</v>
      </c>
      <c r="F223" s="59">
        <f t="shared" si="6"/>
        <v>0</v>
      </c>
      <c r="G223" s="56">
        <v>0.0</v>
      </c>
      <c r="H223" s="59">
        <f t="shared" si="1"/>
        <v>0</v>
      </c>
      <c r="I223" s="39"/>
      <c r="J223" s="39"/>
      <c r="K223" s="60">
        <f t="shared" si="2"/>
        <v>0</v>
      </c>
      <c r="L223" s="39"/>
      <c r="M223" s="59">
        <f t="shared" si="3"/>
        <v>0</v>
      </c>
      <c r="N223" s="69">
        <v>0.0</v>
      </c>
      <c r="O223" s="62">
        <f t="shared" si="4"/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4">
        <v>216.0</v>
      </c>
      <c r="C224" s="56" t="s">
        <v>264</v>
      </c>
      <c r="D224" s="67">
        <v>60000.0</v>
      </c>
      <c r="E224" s="56">
        <v>7.0</v>
      </c>
      <c r="F224" s="59">
        <f t="shared" si="6"/>
        <v>420000</v>
      </c>
      <c r="G224" s="56">
        <v>7.0</v>
      </c>
      <c r="H224" s="59">
        <f t="shared" si="1"/>
        <v>420000</v>
      </c>
      <c r="I224" s="39"/>
      <c r="J224" s="39"/>
      <c r="K224" s="60">
        <f t="shared" si="2"/>
        <v>0</v>
      </c>
      <c r="L224" s="39"/>
      <c r="M224" s="59">
        <f t="shared" si="3"/>
        <v>0</v>
      </c>
      <c r="N224" s="69">
        <v>7.0</v>
      </c>
      <c r="O224" s="62">
        <f t="shared" si="4"/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4">
        <v>217.0</v>
      </c>
      <c r="C225" s="56" t="s">
        <v>265</v>
      </c>
      <c r="D225" s="67">
        <v>36000.0</v>
      </c>
      <c r="E225" s="56">
        <v>0.0</v>
      </c>
      <c r="F225" s="59">
        <f t="shared" si="6"/>
        <v>0</v>
      </c>
      <c r="G225" s="56">
        <v>0.0</v>
      </c>
      <c r="H225" s="59">
        <f t="shared" si="1"/>
        <v>0</v>
      </c>
      <c r="I225" s="39"/>
      <c r="J225" s="39"/>
      <c r="K225" s="60">
        <f t="shared" si="2"/>
        <v>0</v>
      </c>
      <c r="L225" s="39"/>
      <c r="M225" s="59">
        <f t="shared" si="3"/>
        <v>0</v>
      </c>
      <c r="N225" s="69">
        <v>0.0</v>
      </c>
      <c r="O225" s="62">
        <f t="shared" si="4"/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4">
        <v>218.0</v>
      </c>
      <c r="C226" s="56" t="s">
        <v>266</v>
      </c>
      <c r="D226" s="67">
        <v>16087.0</v>
      </c>
      <c r="E226" s="56">
        <v>8.0</v>
      </c>
      <c r="F226" s="59">
        <f t="shared" si="6"/>
        <v>128696</v>
      </c>
      <c r="G226" s="56">
        <v>15.0</v>
      </c>
      <c r="H226" s="59">
        <f t="shared" si="1"/>
        <v>241305</v>
      </c>
      <c r="I226" s="39"/>
      <c r="J226" s="39"/>
      <c r="K226" s="60">
        <f t="shared" si="2"/>
        <v>0</v>
      </c>
      <c r="L226" s="56">
        <v>7.0</v>
      </c>
      <c r="M226" s="59">
        <f t="shared" si="3"/>
        <v>112609</v>
      </c>
      <c r="N226" s="69">
        <v>15.0</v>
      </c>
      <c r="O226" s="62">
        <f t="shared" si="4"/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4">
        <v>219.0</v>
      </c>
      <c r="C227" s="56" t="s">
        <v>267</v>
      </c>
      <c r="D227" s="67">
        <v>130000.0</v>
      </c>
      <c r="E227" s="56">
        <v>0.0</v>
      </c>
      <c r="F227" s="59">
        <f t="shared" si="6"/>
        <v>0</v>
      </c>
      <c r="G227" s="56">
        <v>2.0</v>
      </c>
      <c r="H227" s="59">
        <f t="shared" si="1"/>
        <v>260000</v>
      </c>
      <c r="I227" s="39"/>
      <c r="J227" s="39"/>
      <c r="K227" s="60">
        <f t="shared" si="2"/>
        <v>0</v>
      </c>
      <c r="L227" s="56">
        <v>2.0</v>
      </c>
      <c r="M227" s="59">
        <f t="shared" si="3"/>
        <v>260000</v>
      </c>
      <c r="N227" s="69">
        <v>2.0</v>
      </c>
      <c r="O227" s="62">
        <f t="shared" si="4"/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4">
        <v>220.0</v>
      </c>
      <c r="C228" s="56" t="s">
        <v>268</v>
      </c>
      <c r="D228" s="67">
        <v>425.0</v>
      </c>
      <c r="E228" s="56">
        <v>390.0</v>
      </c>
      <c r="F228" s="59">
        <f t="shared" si="6"/>
        <v>165750</v>
      </c>
      <c r="G228" s="56">
        <v>390.0</v>
      </c>
      <c r="H228" s="59">
        <f t="shared" si="1"/>
        <v>165750</v>
      </c>
      <c r="I228" s="39"/>
      <c r="J228" s="39"/>
      <c r="K228" s="60">
        <f t="shared" si="2"/>
        <v>0</v>
      </c>
      <c r="L228" s="39"/>
      <c r="M228" s="59">
        <f t="shared" si="3"/>
        <v>0</v>
      </c>
      <c r="N228" s="69">
        <v>390.0</v>
      </c>
      <c r="O228" s="62">
        <f t="shared" si="4"/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4">
        <v>221.0</v>
      </c>
      <c r="C229" s="56" t="s">
        <v>269</v>
      </c>
      <c r="D229" s="67">
        <v>97500.0</v>
      </c>
      <c r="E229" s="56">
        <v>1.0</v>
      </c>
      <c r="F229" s="59">
        <f t="shared" si="6"/>
        <v>97500</v>
      </c>
      <c r="G229" s="56">
        <v>1.0</v>
      </c>
      <c r="H229" s="59">
        <f t="shared" si="1"/>
        <v>97500</v>
      </c>
      <c r="I229" s="39"/>
      <c r="J229" s="39"/>
      <c r="K229" s="60">
        <f t="shared" si="2"/>
        <v>0</v>
      </c>
      <c r="L229" s="39"/>
      <c r="M229" s="59">
        <f t="shared" si="3"/>
        <v>0</v>
      </c>
      <c r="N229" s="69">
        <v>1.0</v>
      </c>
      <c r="O229" s="62">
        <f t="shared" si="4"/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4">
        <v>222.0</v>
      </c>
      <c r="C230" s="56" t="s">
        <v>270</v>
      </c>
      <c r="D230" s="70"/>
      <c r="E230" s="56">
        <v>0.0</v>
      </c>
      <c r="F230" s="59">
        <f t="shared" si="6"/>
        <v>0</v>
      </c>
      <c r="G230" s="56">
        <v>0.0</v>
      </c>
      <c r="H230" s="59">
        <f t="shared" si="1"/>
        <v>0</v>
      </c>
      <c r="I230" s="39"/>
      <c r="J230" s="39"/>
      <c r="K230" s="60">
        <f t="shared" si="2"/>
        <v>0</v>
      </c>
      <c r="L230" s="39"/>
      <c r="M230" s="59">
        <f t="shared" si="3"/>
        <v>0</v>
      </c>
      <c r="N230" s="69">
        <v>0.0</v>
      </c>
      <c r="O230" s="62">
        <f t="shared" si="4"/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4">
        <v>223.0</v>
      </c>
      <c r="C231" s="56" t="s">
        <v>271</v>
      </c>
      <c r="D231" s="67">
        <v>20000.0</v>
      </c>
      <c r="E231" s="56">
        <v>7.0</v>
      </c>
      <c r="F231" s="59">
        <f t="shared" si="6"/>
        <v>140000</v>
      </c>
      <c r="G231" s="56">
        <v>8.0</v>
      </c>
      <c r="H231" s="59">
        <f t="shared" si="1"/>
        <v>160000</v>
      </c>
      <c r="I231" s="39"/>
      <c r="J231" s="39"/>
      <c r="K231" s="60">
        <f t="shared" si="2"/>
        <v>0</v>
      </c>
      <c r="L231" s="56">
        <v>1.0</v>
      </c>
      <c r="M231" s="59">
        <f t="shared" si="3"/>
        <v>20000</v>
      </c>
      <c r="N231" s="69">
        <v>8.0</v>
      </c>
      <c r="O231" s="62">
        <f t="shared" si="4"/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4">
        <v>224.0</v>
      </c>
      <c r="C232" s="56" t="s">
        <v>272</v>
      </c>
      <c r="D232" s="67">
        <v>33693.69</v>
      </c>
      <c r="E232" s="56">
        <v>2.0</v>
      </c>
      <c r="F232" s="59">
        <f t="shared" si="6"/>
        <v>67387.38</v>
      </c>
      <c r="G232" s="56">
        <v>2.0</v>
      </c>
      <c r="H232" s="59">
        <f t="shared" si="1"/>
        <v>67387.38</v>
      </c>
      <c r="I232" s="39"/>
      <c r="J232" s="39"/>
      <c r="K232" s="60">
        <f t="shared" si="2"/>
        <v>0</v>
      </c>
      <c r="L232" s="39"/>
      <c r="M232" s="59">
        <f t="shared" si="3"/>
        <v>0</v>
      </c>
      <c r="N232" s="69">
        <v>2.0</v>
      </c>
      <c r="O232" s="62">
        <f t="shared" si="4"/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4">
        <v>225.0</v>
      </c>
      <c r="C233" s="56" t="s">
        <v>273</v>
      </c>
      <c r="D233" s="67">
        <v>1000.0</v>
      </c>
      <c r="E233" s="56">
        <v>0.0</v>
      </c>
      <c r="F233" s="59">
        <f t="shared" si="6"/>
        <v>0</v>
      </c>
      <c r="G233" s="56">
        <v>0.0</v>
      </c>
      <c r="H233" s="59">
        <f t="shared" si="1"/>
        <v>0</v>
      </c>
      <c r="I233" s="39"/>
      <c r="J233" s="39"/>
      <c r="K233" s="60">
        <f t="shared" si="2"/>
        <v>0</v>
      </c>
      <c r="L233" s="39"/>
      <c r="M233" s="59">
        <f t="shared" si="3"/>
        <v>0</v>
      </c>
      <c r="N233" s="69">
        <v>0.0</v>
      </c>
      <c r="O233" s="62">
        <f t="shared" si="4"/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4">
        <v>226.0</v>
      </c>
      <c r="C234" s="56" t="s">
        <v>274</v>
      </c>
      <c r="D234" s="67">
        <v>125000.0</v>
      </c>
      <c r="E234" s="56">
        <v>1.0</v>
      </c>
      <c r="F234" s="59">
        <f t="shared" si="6"/>
        <v>125000</v>
      </c>
      <c r="G234" s="56">
        <v>1.0</v>
      </c>
      <c r="H234" s="59">
        <f t="shared" si="1"/>
        <v>125000</v>
      </c>
      <c r="I234" s="39"/>
      <c r="J234" s="39"/>
      <c r="K234" s="60">
        <f t="shared" si="2"/>
        <v>0</v>
      </c>
      <c r="L234" s="39"/>
      <c r="M234" s="59">
        <f t="shared" si="3"/>
        <v>0</v>
      </c>
      <c r="N234" s="69">
        <v>1.0</v>
      </c>
      <c r="O234" s="62">
        <f t="shared" si="4"/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4">
        <v>227.0</v>
      </c>
      <c r="C235" s="56" t="s">
        <v>275</v>
      </c>
      <c r="D235" s="67">
        <v>159857.14</v>
      </c>
      <c r="E235" s="56">
        <v>20.0</v>
      </c>
      <c r="F235" s="59">
        <f t="shared" si="6"/>
        <v>3197142.8</v>
      </c>
      <c r="G235" s="56">
        <v>20.0</v>
      </c>
      <c r="H235" s="59">
        <f t="shared" si="1"/>
        <v>3197142.8</v>
      </c>
      <c r="I235" s="39"/>
      <c r="J235" s="39"/>
      <c r="K235" s="60">
        <f t="shared" si="2"/>
        <v>0</v>
      </c>
      <c r="L235" s="39"/>
      <c r="M235" s="59">
        <f t="shared" si="3"/>
        <v>0</v>
      </c>
      <c r="N235" s="69">
        <v>20.0</v>
      </c>
      <c r="O235" s="62">
        <f t="shared" si="4"/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4">
        <v>228.0</v>
      </c>
      <c r="C236" s="56" t="s">
        <v>276</v>
      </c>
      <c r="D236" s="67">
        <v>10000.0</v>
      </c>
      <c r="E236" s="56">
        <v>1.0</v>
      </c>
      <c r="F236" s="59">
        <f t="shared" si="6"/>
        <v>10000</v>
      </c>
      <c r="G236" s="56">
        <v>1.0</v>
      </c>
      <c r="H236" s="59">
        <f t="shared" si="1"/>
        <v>10000</v>
      </c>
      <c r="I236" s="39"/>
      <c r="J236" s="39"/>
      <c r="K236" s="60">
        <f t="shared" si="2"/>
        <v>0</v>
      </c>
      <c r="L236" s="39"/>
      <c r="M236" s="59">
        <f t="shared" si="3"/>
        <v>0</v>
      </c>
      <c r="N236" s="69">
        <v>1.0</v>
      </c>
      <c r="O236" s="62">
        <f t="shared" si="4"/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4">
        <v>229.0</v>
      </c>
      <c r="C237" s="56" t="s">
        <v>277</v>
      </c>
      <c r="D237" s="67">
        <v>10000.0</v>
      </c>
      <c r="E237" s="56">
        <v>16.0</v>
      </c>
      <c r="F237" s="59">
        <f t="shared" si="6"/>
        <v>160000</v>
      </c>
      <c r="G237" s="56">
        <v>16.0</v>
      </c>
      <c r="H237" s="59">
        <f t="shared" si="1"/>
        <v>160000</v>
      </c>
      <c r="I237" s="39"/>
      <c r="J237" s="39"/>
      <c r="K237" s="60">
        <f t="shared" si="2"/>
        <v>0</v>
      </c>
      <c r="L237" s="39"/>
      <c r="M237" s="59">
        <f t="shared" si="3"/>
        <v>0</v>
      </c>
      <c r="N237" s="69">
        <v>16.0</v>
      </c>
      <c r="O237" s="62">
        <f t="shared" si="4"/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4">
        <v>230.0</v>
      </c>
      <c r="C238" s="56" t="s">
        <v>278</v>
      </c>
      <c r="D238" s="67">
        <v>39000.0</v>
      </c>
      <c r="E238" s="56">
        <v>12.0</v>
      </c>
      <c r="F238" s="59">
        <f t="shared" si="6"/>
        <v>468000</v>
      </c>
      <c r="G238" s="56">
        <v>12.0</v>
      </c>
      <c r="H238" s="59">
        <f t="shared" si="1"/>
        <v>468000</v>
      </c>
      <c r="I238" s="39"/>
      <c r="J238" s="39"/>
      <c r="K238" s="60">
        <f t="shared" si="2"/>
        <v>0</v>
      </c>
      <c r="L238" s="39"/>
      <c r="M238" s="59">
        <f t="shared" si="3"/>
        <v>0</v>
      </c>
      <c r="N238" s="69">
        <v>12.0</v>
      </c>
      <c r="O238" s="62">
        <f t="shared" si="4"/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4">
        <v>231.0</v>
      </c>
      <c r="C239" s="56" t="s">
        <v>279</v>
      </c>
      <c r="D239" s="67">
        <v>96397.14</v>
      </c>
      <c r="E239" s="56">
        <v>22.0</v>
      </c>
      <c r="F239" s="59">
        <f t="shared" si="6"/>
        <v>2120737.08</v>
      </c>
      <c r="G239" s="56">
        <v>22.0</v>
      </c>
      <c r="H239" s="59">
        <f t="shared" si="1"/>
        <v>2120737.08</v>
      </c>
      <c r="I239" s="39"/>
      <c r="J239" s="39"/>
      <c r="K239" s="60">
        <f t="shared" si="2"/>
        <v>0</v>
      </c>
      <c r="L239" s="39"/>
      <c r="M239" s="59">
        <f t="shared" si="3"/>
        <v>0</v>
      </c>
      <c r="N239" s="69">
        <v>22.0</v>
      </c>
      <c r="O239" s="62">
        <f t="shared" si="4"/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4">
        <v>232.0</v>
      </c>
      <c r="C240" s="56" t="s">
        <v>280</v>
      </c>
      <c r="D240" s="67">
        <v>33075.94</v>
      </c>
      <c r="E240" s="56">
        <v>20.0</v>
      </c>
      <c r="F240" s="59">
        <f t="shared" si="6"/>
        <v>661518.8</v>
      </c>
      <c r="G240" s="56">
        <v>20.0</v>
      </c>
      <c r="H240" s="59">
        <f t="shared" si="1"/>
        <v>661518.8</v>
      </c>
      <c r="I240" s="39"/>
      <c r="J240" s="39"/>
      <c r="K240" s="60">
        <f t="shared" si="2"/>
        <v>0</v>
      </c>
      <c r="L240" s="39"/>
      <c r="M240" s="59">
        <f t="shared" si="3"/>
        <v>0</v>
      </c>
      <c r="N240" s="69">
        <v>20.0</v>
      </c>
      <c r="O240" s="62">
        <f t="shared" si="4"/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4">
        <v>233.0</v>
      </c>
      <c r="C241" s="56" t="s">
        <v>281</v>
      </c>
      <c r="D241" s="67">
        <v>20720.72</v>
      </c>
      <c r="E241" s="56">
        <v>20.0</v>
      </c>
      <c r="F241" s="59">
        <f t="shared" si="6"/>
        <v>414414.4</v>
      </c>
      <c r="G241" s="56">
        <v>20.0</v>
      </c>
      <c r="H241" s="59">
        <f t="shared" si="1"/>
        <v>414414.4</v>
      </c>
      <c r="I241" s="39"/>
      <c r="J241" s="39"/>
      <c r="K241" s="60">
        <f t="shared" si="2"/>
        <v>0</v>
      </c>
      <c r="L241" s="39"/>
      <c r="M241" s="59">
        <f t="shared" si="3"/>
        <v>0</v>
      </c>
      <c r="N241" s="69">
        <v>20.0</v>
      </c>
      <c r="O241" s="62">
        <f t="shared" si="4"/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4">
        <v>234.0</v>
      </c>
      <c r="C242" s="56" t="s">
        <v>282</v>
      </c>
      <c r="D242" s="70"/>
      <c r="E242" s="56">
        <v>0.0</v>
      </c>
      <c r="F242" s="59">
        <f t="shared" si="6"/>
        <v>0</v>
      </c>
      <c r="G242" s="56">
        <v>0.0</v>
      </c>
      <c r="H242" s="59">
        <f t="shared" si="1"/>
        <v>0</v>
      </c>
      <c r="I242" s="39"/>
      <c r="J242" s="39"/>
      <c r="K242" s="60">
        <f t="shared" si="2"/>
        <v>0</v>
      </c>
      <c r="L242" s="39"/>
      <c r="M242" s="59">
        <f t="shared" si="3"/>
        <v>0</v>
      </c>
      <c r="N242" s="69">
        <v>0.0</v>
      </c>
      <c r="O242" s="62">
        <f t="shared" si="4"/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4">
        <v>235.0</v>
      </c>
      <c r="C243" s="56" t="s">
        <v>283</v>
      </c>
      <c r="D243" s="67">
        <v>22072.07</v>
      </c>
      <c r="E243" s="56">
        <v>46.0</v>
      </c>
      <c r="F243" s="59">
        <f t="shared" si="6"/>
        <v>1015315.22</v>
      </c>
      <c r="G243" s="56">
        <v>46.0</v>
      </c>
      <c r="H243" s="59">
        <f t="shared" si="1"/>
        <v>1015315.22</v>
      </c>
      <c r="I243" s="39"/>
      <c r="J243" s="39"/>
      <c r="K243" s="60">
        <f t="shared" si="2"/>
        <v>0</v>
      </c>
      <c r="L243" s="39"/>
      <c r="M243" s="59">
        <f t="shared" si="3"/>
        <v>0</v>
      </c>
      <c r="N243" s="69">
        <v>46.0</v>
      </c>
      <c r="O243" s="62">
        <f t="shared" si="4"/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4">
        <v>236.0</v>
      </c>
      <c r="C244" s="56" t="s">
        <v>284</v>
      </c>
      <c r="D244" s="67">
        <v>18468.47</v>
      </c>
      <c r="E244" s="56">
        <v>6.0</v>
      </c>
      <c r="F244" s="59">
        <f t="shared" si="6"/>
        <v>110810.82</v>
      </c>
      <c r="G244" s="56">
        <v>6.0</v>
      </c>
      <c r="H244" s="59">
        <f t="shared" si="1"/>
        <v>110810.82</v>
      </c>
      <c r="I244" s="39"/>
      <c r="J244" s="39"/>
      <c r="K244" s="60">
        <f t="shared" si="2"/>
        <v>0</v>
      </c>
      <c r="L244" s="39"/>
      <c r="M244" s="59">
        <f t="shared" si="3"/>
        <v>0</v>
      </c>
      <c r="N244" s="69">
        <v>6.0</v>
      </c>
      <c r="O244" s="62">
        <f t="shared" si="4"/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4">
        <v>237.0</v>
      </c>
      <c r="C245" s="56" t="s">
        <v>285</v>
      </c>
      <c r="D245" s="70"/>
      <c r="E245" s="56">
        <v>2.0</v>
      </c>
      <c r="F245" s="59">
        <f t="shared" si="6"/>
        <v>0</v>
      </c>
      <c r="G245" s="56">
        <v>2.0</v>
      </c>
      <c r="H245" s="59">
        <f t="shared" si="1"/>
        <v>0</v>
      </c>
      <c r="I245" s="39"/>
      <c r="J245" s="39"/>
      <c r="K245" s="60">
        <f t="shared" si="2"/>
        <v>0</v>
      </c>
      <c r="L245" s="39"/>
      <c r="M245" s="59">
        <f t="shared" si="3"/>
        <v>0</v>
      </c>
      <c r="N245" s="69">
        <v>2.0</v>
      </c>
      <c r="O245" s="62">
        <f t="shared" si="4"/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4">
        <v>238.0</v>
      </c>
      <c r="C246" s="56" t="s">
        <v>286</v>
      </c>
      <c r="D246" s="70"/>
      <c r="E246" s="56">
        <v>4.0</v>
      </c>
      <c r="F246" s="59">
        <f t="shared" si="6"/>
        <v>0</v>
      </c>
      <c r="G246" s="56">
        <v>4.0</v>
      </c>
      <c r="H246" s="59">
        <f t="shared" si="1"/>
        <v>0</v>
      </c>
      <c r="I246" s="39"/>
      <c r="J246" s="39"/>
      <c r="K246" s="60">
        <f t="shared" si="2"/>
        <v>0</v>
      </c>
      <c r="L246" s="39"/>
      <c r="M246" s="59">
        <f t="shared" si="3"/>
        <v>0</v>
      </c>
      <c r="N246" s="69">
        <v>4.0</v>
      </c>
      <c r="O246" s="62">
        <f t="shared" si="4"/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4">
        <v>239.0</v>
      </c>
      <c r="C247" s="56" t="s">
        <v>287</v>
      </c>
      <c r="D247" s="67">
        <v>42500.0</v>
      </c>
      <c r="E247" s="56">
        <v>6.0</v>
      </c>
      <c r="F247" s="59">
        <f t="shared" si="6"/>
        <v>255000</v>
      </c>
      <c r="G247" s="56">
        <v>6.0</v>
      </c>
      <c r="H247" s="59">
        <f t="shared" si="1"/>
        <v>255000</v>
      </c>
      <c r="I247" s="39"/>
      <c r="J247" s="39"/>
      <c r="K247" s="60">
        <f t="shared" si="2"/>
        <v>0</v>
      </c>
      <c r="L247" s="39"/>
      <c r="M247" s="59">
        <f t="shared" si="3"/>
        <v>0</v>
      </c>
      <c r="N247" s="69">
        <v>6.0</v>
      </c>
      <c r="O247" s="62">
        <f t="shared" si="4"/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4">
        <v>240.0</v>
      </c>
      <c r="C248" s="56" t="s">
        <v>288</v>
      </c>
      <c r="D248" s="67">
        <v>919500.0</v>
      </c>
      <c r="E248" s="56">
        <v>12.0</v>
      </c>
      <c r="F248" s="59">
        <f t="shared" si="6"/>
        <v>11034000</v>
      </c>
      <c r="G248" s="56">
        <v>12.0</v>
      </c>
      <c r="H248" s="59">
        <f t="shared" si="1"/>
        <v>11034000</v>
      </c>
      <c r="I248" s="39"/>
      <c r="J248" s="39"/>
      <c r="K248" s="60">
        <f t="shared" si="2"/>
        <v>0</v>
      </c>
      <c r="L248" s="39"/>
      <c r="M248" s="59">
        <f t="shared" si="3"/>
        <v>0</v>
      </c>
      <c r="N248" s="69">
        <v>12.0</v>
      </c>
      <c r="O248" s="62">
        <f t="shared" si="4"/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4">
        <v>241.0</v>
      </c>
      <c r="C249" s="56" t="s">
        <v>289</v>
      </c>
      <c r="D249" s="67">
        <v>595428.57</v>
      </c>
      <c r="E249" s="56">
        <v>0.0</v>
      </c>
      <c r="F249" s="59">
        <f t="shared" si="6"/>
        <v>0</v>
      </c>
      <c r="G249" s="56">
        <v>2.0</v>
      </c>
      <c r="H249" s="59">
        <f t="shared" si="1"/>
        <v>1190857.14</v>
      </c>
      <c r="I249" s="39"/>
      <c r="J249" s="39"/>
      <c r="K249" s="60">
        <f t="shared" si="2"/>
        <v>0</v>
      </c>
      <c r="L249" s="56">
        <v>2.0</v>
      </c>
      <c r="M249" s="59">
        <f t="shared" si="3"/>
        <v>1190857.14</v>
      </c>
      <c r="N249" s="69">
        <v>2.0</v>
      </c>
      <c r="O249" s="62">
        <f t="shared" si="4"/>
        <v>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4">
        <v>242.0</v>
      </c>
      <c r="C250" s="56" t="s">
        <v>290</v>
      </c>
      <c r="D250" s="67">
        <v>29504.5</v>
      </c>
      <c r="E250" s="56">
        <v>17.0</v>
      </c>
      <c r="F250" s="59">
        <f t="shared" si="6"/>
        <v>501576.5</v>
      </c>
      <c r="G250" s="56">
        <v>17.0</v>
      </c>
      <c r="H250" s="59">
        <f t="shared" si="1"/>
        <v>501576.5</v>
      </c>
      <c r="I250" s="39"/>
      <c r="J250" s="39"/>
      <c r="K250" s="60">
        <f t="shared" si="2"/>
        <v>0</v>
      </c>
      <c r="L250" s="39"/>
      <c r="M250" s="59">
        <f t="shared" si="3"/>
        <v>0</v>
      </c>
      <c r="N250" s="69">
        <v>17.0</v>
      </c>
      <c r="O250" s="62">
        <f t="shared" si="4"/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4">
        <v>243.0</v>
      </c>
      <c r="C251" s="56" t="s">
        <v>291</v>
      </c>
      <c r="D251" s="70"/>
      <c r="E251" s="56">
        <v>0.0</v>
      </c>
      <c r="F251" s="59">
        <f t="shared" si="6"/>
        <v>0</v>
      </c>
      <c r="G251" s="56">
        <v>0.0</v>
      </c>
      <c r="H251" s="59">
        <f t="shared" si="1"/>
        <v>0</v>
      </c>
      <c r="I251" s="39"/>
      <c r="J251" s="39"/>
      <c r="K251" s="60">
        <f t="shared" si="2"/>
        <v>0</v>
      </c>
      <c r="L251" s="39"/>
      <c r="M251" s="59">
        <f t="shared" si="3"/>
        <v>0</v>
      </c>
      <c r="N251" s="69">
        <v>0.0</v>
      </c>
      <c r="O251" s="62">
        <f t="shared" si="4"/>
        <v>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4">
        <v>244.0</v>
      </c>
      <c r="C252" s="56" t="s">
        <v>292</v>
      </c>
      <c r="D252" s="67">
        <v>12000.0</v>
      </c>
      <c r="E252" s="56">
        <v>20.0</v>
      </c>
      <c r="F252" s="59">
        <f t="shared" si="6"/>
        <v>240000</v>
      </c>
      <c r="G252" s="56">
        <v>20.0</v>
      </c>
      <c r="H252" s="59">
        <f t="shared" si="1"/>
        <v>240000</v>
      </c>
      <c r="I252" s="39"/>
      <c r="J252" s="39"/>
      <c r="K252" s="60">
        <f t="shared" si="2"/>
        <v>0</v>
      </c>
      <c r="L252" s="39"/>
      <c r="M252" s="59">
        <f t="shared" si="3"/>
        <v>0</v>
      </c>
      <c r="N252" s="69">
        <v>20.0</v>
      </c>
      <c r="O252" s="62">
        <f t="shared" si="4"/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4">
        <v>245.0</v>
      </c>
      <c r="C253" s="56" t="s">
        <v>293</v>
      </c>
      <c r="D253" s="67">
        <v>363300.0</v>
      </c>
      <c r="E253" s="56">
        <v>1.0</v>
      </c>
      <c r="F253" s="59">
        <f t="shared" si="6"/>
        <v>363300</v>
      </c>
      <c r="G253" s="56">
        <v>1.0</v>
      </c>
      <c r="H253" s="59">
        <f t="shared" si="1"/>
        <v>363300</v>
      </c>
      <c r="I253" s="39"/>
      <c r="J253" s="39"/>
      <c r="K253" s="60">
        <f t="shared" si="2"/>
        <v>0</v>
      </c>
      <c r="L253" s="39"/>
      <c r="M253" s="59">
        <f t="shared" si="3"/>
        <v>0</v>
      </c>
      <c r="N253" s="69">
        <v>1.0</v>
      </c>
      <c r="O253" s="62">
        <f t="shared" si="4"/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4">
        <v>246.0</v>
      </c>
      <c r="C254" s="56" t="s">
        <v>294</v>
      </c>
      <c r="D254" s="67">
        <v>340200.0</v>
      </c>
      <c r="E254" s="56">
        <v>13.0</v>
      </c>
      <c r="F254" s="59">
        <f t="shared" si="6"/>
        <v>4422600</v>
      </c>
      <c r="G254" s="56">
        <v>13.0</v>
      </c>
      <c r="H254" s="59">
        <f t="shared" si="1"/>
        <v>4422600</v>
      </c>
      <c r="I254" s="39"/>
      <c r="J254" s="39"/>
      <c r="K254" s="60">
        <f t="shared" si="2"/>
        <v>0</v>
      </c>
      <c r="L254" s="39"/>
      <c r="M254" s="59">
        <f t="shared" si="3"/>
        <v>0</v>
      </c>
      <c r="N254" s="69">
        <v>13.0</v>
      </c>
      <c r="O254" s="62">
        <f t="shared" si="4"/>
        <v>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4">
        <v>247.0</v>
      </c>
      <c r="C255" s="56" t="s">
        <v>295</v>
      </c>
      <c r="D255" s="67">
        <v>317100.0</v>
      </c>
      <c r="E255" s="56">
        <v>12.0</v>
      </c>
      <c r="F255" s="59">
        <f t="shared" si="6"/>
        <v>3805200</v>
      </c>
      <c r="G255" s="56">
        <v>12.0</v>
      </c>
      <c r="H255" s="59">
        <f t="shared" si="1"/>
        <v>3805200</v>
      </c>
      <c r="I255" s="39"/>
      <c r="J255" s="39"/>
      <c r="K255" s="60">
        <f t="shared" si="2"/>
        <v>0</v>
      </c>
      <c r="L255" s="39"/>
      <c r="M255" s="59">
        <f t="shared" si="3"/>
        <v>0</v>
      </c>
      <c r="N255" s="69">
        <v>12.0</v>
      </c>
      <c r="O255" s="62">
        <f t="shared" si="4"/>
        <v>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4">
        <v>248.0</v>
      </c>
      <c r="C256" s="56" t="s">
        <v>296</v>
      </c>
      <c r="D256" s="67">
        <v>236600.0</v>
      </c>
      <c r="E256" s="56">
        <v>0.0</v>
      </c>
      <c r="F256" s="59">
        <f t="shared" si="6"/>
        <v>0</v>
      </c>
      <c r="G256" s="56">
        <v>0.0</v>
      </c>
      <c r="H256" s="59">
        <f t="shared" si="1"/>
        <v>0</v>
      </c>
      <c r="I256" s="39"/>
      <c r="J256" s="39"/>
      <c r="K256" s="60">
        <f t="shared" si="2"/>
        <v>0</v>
      </c>
      <c r="L256" s="39"/>
      <c r="M256" s="59">
        <f t="shared" si="3"/>
        <v>0</v>
      </c>
      <c r="N256" s="69">
        <v>0.0</v>
      </c>
      <c r="O256" s="62">
        <f t="shared" si="4"/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4">
        <v>249.0</v>
      </c>
      <c r="C257" s="56" t="s">
        <v>297</v>
      </c>
      <c r="D257" s="67">
        <v>55300.0</v>
      </c>
      <c r="E257" s="56">
        <v>150.0</v>
      </c>
      <c r="F257" s="59">
        <f t="shared" si="6"/>
        <v>8295000</v>
      </c>
      <c r="G257" s="56">
        <v>150.0</v>
      </c>
      <c r="H257" s="59">
        <f t="shared" si="1"/>
        <v>8295000</v>
      </c>
      <c r="I257" s="39"/>
      <c r="J257" s="39"/>
      <c r="K257" s="60">
        <f t="shared" si="2"/>
        <v>0</v>
      </c>
      <c r="L257" s="39"/>
      <c r="M257" s="59">
        <f t="shared" si="3"/>
        <v>0</v>
      </c>
      <c r="N257" s="69">
        <v>150.0</v>
      </c>
      <c r="O257" s="62">
        <f t="shared" si="4"/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4">
        <v>250.0</v>
      </c>
      <c r="C258" s="56" t="s">
        <v>298</v>
      </c>
      <c r="D258" s="67">
        <v>75000.0</v>
      </c>
      <c r="E258" s="56">
        <v>0.0</v>
      </c>
      <c r="F258" s="59">
        <f t="shared" si="6"/>
        <v>0</v>
      </c>
      <c r="G258" s="56">
        <v>0.0</v>
      </c>
      <c r="H258" s="59">
        <f t="shared" si="1"/>
        <v>0</v>
      </c>
      <c r="I258" s="39"/>
      <c r="J258" s="39"/>
      <c r="K258" s="60">
        <f t="shared" si="2"/>
        <v>0</v>
      </c>
      <c r="L258" s="39"/>
      <c r="M258" s="59">
        <f t="shared" si="3"/>
        <v>0</v>
      </c>
      <c r="N258" s="69">
        <v>0.0</v>
      </c>
      <c r="O258" s="62">
        <f t="shared" si="4"/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4">
        <v>251.0</v>
      </c>
      <c r="C259" s="56" t="s">
        <v>299</v>
      </c>
      <c r="D259" s="67">
        <v>568369.37</v>
      </c>
      <c r="E259" s="56">
        <v>0.0</v>
      </c>
      <c r="F259" s="59">
        <f t="shared" si="6"/>
        <v>0</v>
      </c>
      <c r="G259" s="56">
        <v>0.0</v>
      </c>
      <c r="H259" s="59">
        <f t="shared" si="1"/>
        <v>0</v>
      </c>
      <c r="I259" s="39"/>
      <c r="J259" s="39"/>
      <c r="K259" s="60">
        <f t="shared" si="2"/>
        <v>0</v>
      </c>
      <c r="L259" s="39"/>
      <c r="M259" s="59">
        <f t="shared" si="3"/>
        <v>0</v>
      </c>
      <c r="N259" s="69">
        <v>0.0</v>
      </c>
      <c r="O259" s="62">
        <f t="shared" si="4"/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4">
        <v>252.0</v>
      </c>
      <c r="C260" s="56" t="s">
        <v>300</v>
      </c>
      <c r="D260" s="70"/>
      <c r="E260" s="56">
        <v>0.0</v>
      </c>
      <c r="F260" s="59">
        <f t="shared" si="6"/>
        <v>0</v>
      </c>
      <c r="G260" s="56">
        <v>0.0</v>
      </c>
      <c r="H260" s="59">
        <f t="shared" si="1"/>
        <v>0</v>
      </c>
      <c r="I260" s="39"/>
      <c r="J260" s="39"/>
      <c r="K260" s="60">
        <f t="shared" si="2"/>
        <v>0</v>
      </c>
      <c r="L260" s="39"/>
      <c r="M260" s="59">
        <f t="shared" si="3"/>
        <v>0</v>
      </c>
      <c r="N260" s="69">
        <v>0.0</v>
      </c>
      <c r="O260" s="62">
        <f t="shared" si="4"/>
        <v>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4">
        <v>253.0</v>
      </c>
      <c r="C261" s="56" t="s">
        <v>301</v>
      </c>
      <c r="D261" s="70"/>
      <c r="E261" s="56">
        <v>0.0</v>
      </c>
      <c r="F261" s="59">
        <f t="shared" si="6"/>
        <v>0</v>
      </c>
      <c r="G261" s="56">
        <v>0.0</v>
      </c>
      <c r="H261" s="59">
        <f t="shared" si="1"/>
        <v>0</v>
      </c>
      <c r="I261" s="39"/>
      <c r="J261" s="39"/>
      <c r="K261" s="60">
        <f t="shared" si="2"/>
        <v>0</v>
      </c>
      <c r="L261" s="39"/>
      <c r="M261" s="59">
        <f t="shared" si="3"/>
        <v>0</v>
      </c>
      <c r="N261" s="69">
        <v>0.0</v>
      </c>
      <c r="O261" s="62">
        <f t="shared" si="4"/>
        <v>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4">
        <v>254.0</v>
      </c>
      <c r="C262" s="56" t="s">
        <v>302</v>
      </c>
      <c r="D262" s="67">
        <v>42500.0</v>
      </c>
      <c r="E262" s="56">
        <v>7.0</v>
      </c>
      <c r="F262" s="59">
        <f t="shared" si="6"/>
        <v>297500</v>
      </c>
      <c r="G262" s="56">
        <v>7.0</v>
      </c>
      <c r="H262" s="59">
        <f t="shared" si="1"/>
        <v>297500</v>
      </c>
      <c r="I262" s="39"/>
      <c r="J262" s="39"/>
      <c r="K262" s="60">
        <f t="shared" si="2"/>
        <v>0</v>
      </c>
      <c r="L262" s="39"/>
      <c r="M262" s="59">
        <f t="shared" si="3"/>
        <v>0</v>
      </c>
      <c r="N262" s="69">
        <v>7.0</v>
      </c>
      <c r="O262" s="62">
        <f t="shared" si="4"/>
        <v>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4">
        <v>255.0</v>
      </c>
      <c r="C263" s="56" t="s">
        <v>303</v>
      </c>
      <c r="D263" s="67">
        <v>42500.0</v>
      </c>
      <c r="E263" s="56">
        <v>4.0</v>
      </c>
      <c r="F263" s="59">
        <f t="shared" si="6"/>
        <v>170000</v>
      </c>
      <c r="G263" s="56">
        <v>4.0</v>
      </c>
      <c r="H263" s="59">
        <f t="shared" si="1"/>
        <v>170000</v>
      </c>
      <c r="I263" s="39"/>
      <c r="J263" s="39"/>
      <c r="K263" s="60">
        <f t="shared" si="2"/>
        <v>0</v>
      </c>
      <c r="L263" s="39"/>
      <c r="M263" s="59">
        <f t="shared" si="3"/>
        <v>0</v>
      </c>
      <c r="N263" s="69">
        <v>4.0</v>
      </c>
      <c r="O263" s="62">
        <f t="shared" si="4"/>
        <v>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4">
        <v>256.0</v>
      </c>
      <c r="C264" s="56" t="s">
        <v>304</v>
      </c>
      <c r="D264" s="67">
        <v>7000.0</v>
      </c>
      <c r="E264" s="56">
        <v>20.0</v>
      </c>
      <c r="F264" s="59">
        <f t="shared" si="6"/>
        <v>140000</v>
      </c>
      <c r="G264" s="56">
        <v>20.0</v>
      </c>
      <c r="H264" s="59">
        <f t="shared" si="1"/>
        <v>140000</v>
      </c>
      <c r="I264" s="39"/>
      <c r="J264" s="39"/>
      <c r="K264" s="60">
        <f t="shared" si="2"/>
        <v>0</v>
      </c>
      <c r="L264" s="39"/>
      <c r="M264" s="59">
        <f t="shared" si="3"/>
        <v>0</v>
      </c>
      <c r="N264" s="69">
        <v>20.0</v>
      </c>
      <c r="O264" s="62">
        <f t="shared" si="4"/>
        <v>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4">
        <v>257.0</v>
      </c>
      <c r="C265" s="56" t="s">
        <v>305</v>
      </c>
      <c r="D265" s="67">
        <v>104700.0</v>
      </c>
      <c r="E265" s="56">
        <v>13.0</v>
      </c>
      <c r="F265" s="59">
        <f t="shared" si="6"/>
        <v>1361100</v>
      </c>
      <c r="G265" s="56">
        <v>13.0</v>
      </c>
      <c r="H265" s="59">
        <f t="shared" si="1"/>
        <v>1361100</v>
      </c>
      <c r="I265" s="39"/>
      <c r="J265" s="39"/>
      <c r="K265" s="60">
        <f t="shared" si="2"/>
        <v>0</v>
      </c>
      <c r="L265" s="39"/>
      <c r="M265" s="59">
        <f t="shared" si="3"/>
        <v>0</v>
      </c>
      <c r="N265" s="69">
        <v>13.0</v>
      </c>
      <c r="O265" s="62">
        <f t="shared" si="4"/>
        <v>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4">
        <v>258.0</v>
      </c>
      <c r="C266" s="56" t="s">
        <v>306</v>
      </c>
      <c r="D266" s="70"/>
      <c r="E266" s="56">
        <v>0.0</v>
      </c>
      <c r="F266" s="59">
        <f t="shared" si="6"/>
        <v>0</v>
      </c>
      <c r="G266" s="56">
        <v>0.0</v>
      </c>
      <c r="H266" s="59">
        <f t="shared" si="1"/>
        <v>0</v>
      </c>
      <c r="I266" s="39"/>
      <c r="J266" s="39"/>
      <c r="K266" s="60">
        <f t="shared" si="2"/>
        <v>0</v>
      </c>
      <c r="L266" s="39"/>
      <c r="M266" s="59">
        <f t="shared" si="3"/>
        <v>0</v>
      </c>
      <c r="N266" s="69">
        <v>0.0</v>
      </c>
      <c r="O266" s="62">
        <f t="shared" si="4"/>
        <v>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4">
        <v>259.0</v>
      </c>
      <c r="C267" s="56" t="s">
        <v>307</v>
      </c>
      <c r="D267" s="67">
        <v>27500.0</v>
      </c>
      <c r="E267" s="56">
        <v>1.0</v>
      </c>
      <c r="F267" s="59">
        <f t="shared" si="6"/>
        <v>27500</v>
      </c>
      <c r="G267" s="56">
        <v>1.0</v>
      </c>
      <c r="H267" s="59">
        <f t="shared" si="1"/>
        <v>27500</v>
      </c>
      <c r="I267" s="39"/>
      <c r="J267" s="39"/>
      <c r="K267" s="60">
        <f t="shared" si="2"/>
        <v>0</v>
      </c>
      <c r="L267" s="39"/>
      <c r="M267" s="59">
        <f t="shared" si="3"/>
        <v>0</v>
      </c>
      <c r="N267" s="69">
        <v>1.0</v>
      </c>
      <c r="O267" s="62">
        <f t="shared" si="4"/>
        <v>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4">
        <v>260.0</v>
      </c>
      <c r="C268" s="56" t="s">
        <v>308</v>
      </c>
      <c r="D268" s="67">
        <v>30000.0</v>
      </c>
      <c r="E268" s="56">
        <v>2.0</v>
      </c>
      <c r="F268" s="59">
        <f t="shared" si="6"/>
        <v>60000</v>
      </c>
      <c r="G268" s="56">
        <v>2.0</v>
      </c>
      <c r="H268" s="59">
        <f t="shared" si="1"/>
        <v>60000</v>
      </c>
      <c r="I268" s="39"/>
      <c r="J268" s="39"/>
      <c r="K268" s="60">
        <f t="shared" si="2"/>
        <v>0</v>
      </c>
      <c r="L268" s="39"/>
      <c r="M268" s="59">
        <f t="shared" si="3"/>
        <v>0</v>
      </c>
      <c r="N268" s="69">
        <v>2.0</v>
      </c>
      <c r="O268" s="62">
        <f t="shared" si="4"/>
        <v>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4">
        <v>261.0</v>
      </c>
      <c r="C269" s="56" t="s">
        <v>309</v>
      </c>
      <c r="D269" s="67">
        <v>126193.0</v>
      </c>
      <c r="E269" s="56">
        <v>3.0</v>
      </c>
      <c r="F269" s="59">
        <f t="shared" si="6"/>
        <v>378579</v>
      </c>
      <c r="G269" s="56">
        <v>4.0</v>
      </c>
      <c r="H269" s="59">
        <f t="shared" si="1"/>
        <v>504772</v>
      </c>
      <c r="I269" s="39"/>
      <c r="J269" s="39"/>
      <c r="K269" s="60">
        <f t="shared" si="2"/>
        <v>0</v>
      </c>
      <c r="L269" s="56">
        <v>1.0</v>
      </c>
      <c r="M269" s="59">
        <f t="shared" si="3"/>
        <v>126193</v>
      </c>
      <c r="N269" s="69">
        <v>4.0</v>
      </c>
      <c r="O269" s="62">
        <f t="shared" si="4"/>
        <v>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4">
        <v>262.0</v>
      </c>
      <c r="C270" s="56" t="s">
        <v>310</v>
      </c>
      <c r="D270" s="67">
        <v>60000.0</v>
      </c>
      <c r="E270" s="56">
        <v>56.0</v>
      </c>
      <c r="F270" s="59">
        <f t="shared" si="6"/>
        <v>3360000</v>
      </c>
      <c r="G270" s="56">
        <v>56.0</v>
      </c>
      <c r="H270" s="59">
        <f t="shared" si="1"/>
        <v>3360000</v>
      </c>
      <c r="I270" s="39"/>
      <c r="J270" s="39"/>
      <c r="K270" s="60">
        <f t="shared" si="2"/>
        <v>0</v>
      </c>
      <c r="L270" s="39"/>
      <c r="M270" s="59">
        <f t="shared" si="3"/>
        <v>0</v>
      </c>
      <c r="N270" s="69">
        <v>56.0</v>
      </c>
      <c r="O270" s="62">
        <f t="shared" si="4"/>
        <v>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4">
        <v>263.0</v>
      </c>
      <c r="C271" s="56" t="s">
        <v>311</v>
      </c>
      <c r="D271" s="67">
        <v>5000.0</v>
      </c>
      <c r="E271" s="56">
        <v>59.2</v>
      </c>
      <c r="F271" s="59">
        <f t="shared" si="6"/>
        <v>296000</v>
      </c>
      <c r="G271" s="56">
        <v>59.2</v>
      </c>
      <c r="H271" s="59">
        <f t="shared" si="1"/>
        <v>296000</v>
      </c>
      <c r="I271" s="39"/>
      <c r="J271" s="39"/>
      <c r="K271" s="60">
        <f t="shared" si="2"/>
        <v>0</v>
      </c>
      <c r="L271" s="39"/>
      <c r="M271" s="59">
        <f t="shared" si="3"/>
        <v>0</v>
      </c>
      <c r="N271" s="69">
        <v>59.2</v>
      </c>
      <c r="O271" s="62">
        <f t="shared" si="4"/>
        <v>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4">
        <v>264.0</v>
      </c>
      <c r="C272" s="56" t="s">
        <v>312</v>
      </c>
      <c r="D272" s="67">
        <v>6500.0</v>
      </c>
      <c r="E272" s="56">
        <v>177.0</v>
      </c>
      <c r="F272" s="59">
        <f t="shared" si="6"/>
        <v>1150500</v>
      </c>
      <c r="G272" s="56">
        <v>177.0</v>
      </c>
      <c r="H272" s="59">
        <f t="shared" si="1"/>
        <v>1150500</v>
      </c>
      <c r="I272" s="39"/>
      <c r="J272" s="39"/>
      <c r="K272" s="60">
        <f t="shared" si="2"/>
        <v>0</v>
      </c>
      <c r="L272" s="39"/>
      <c r="M272" s="59">
        <f t="shared" si="3"/>
        <v>0</v>
      </c>
      <c r="N272" s="69">
        <v>177.0</v>
      </c>
      <c r="O272" s="62">
        <f t="shared" si="4"/>
        <v>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4">
        <v>265.0</v>
      </c>
      <c r="C273" s="56" t="s">
        <v>313</v>
      </c>
      <c r="D273" s="67">
        <v>49500.0</v>
      </c>
      <c r="E273" s="56">
        <v>15.0</v>
      </c>
      <c r="F273" s="59">
        <f t="shared" si="6"/>
        <v>742500</v>
      </c>
      <c r="G273" s="56">
        <v>15.0</v>
      </c>
      <c r="H273" s="59">
        <f t="shared" si="1"/>
        <v>742500</v>
      </c>
      <c r="I273" s="39"/>
      <c r="J273" s="39"/>
      <c r="K273" s="60">
        <f t="shared" si="2"/>
        <v>0</v>
      </c>
      <c r="L273" s="39"/>
      <c r="M273" s="59">
        <f t="shared" si="3"/>
        <v>0</v>
      </c>
      <c r="N273" s="69">
        <v>15.0</v>
      </c>
      <c r="O273" s="62">
        <f t="shared" si="4"/>
        <v>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4">
        <v>266.0</v>
      </c>
      <c r="C274" s="56" t="s">
        <v>314</v>
      </c>
      <c r="D274" s="67">
        <v>10500.0</v>
      </c>
      <c r="E274" s="56">
        <v>0.0</v>
      </c>
      <c r="F274" s="59">
        <f t="shared" si="6"/>
        <v>0</v>
      </c>
      <c r="G274" s="56">
        <v>0.0</v>
      </c>
      <c r="H274" s="59">
        <f t="shared" si="1"/>
        <v>0</v>
      </c>
      <c r="I274" s="39"/>
      <c r="J274" s="39"/>
      <c r="K274" s="60">
        <f t="shared" si="2"/>
        <v>0</v>
      </c>
      <c r="L274" s="39"/>
      <c r="M274" s="59">
        <f t="shared" si="3"/>
        <v>0</v>
      </c>
      <c r="N274" s="69">
        <v>0.0</v>
      </c>
      <c r="O274" s="62">
        <f t="shared" si="4"/>
        <v>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4">
        <v>267.0</v>
      </c>
      <c r="C275" s="56" t="s">
        <v>315</v>
      </c>
      <c r="D275" s="70"/>
      <c r="E275" s="56">
        <v>0.0</v>
      </c>
      <c r="F275" s="59">
        <f t="shared" si="6"/>
        <v>0</v>
      </c>
      <c r="G275" s="56">
        <v>0.0</v>
      </c>
      <c r="H275" s="59">
        <f t="shared" si="1"/>
        <v>0</v>
      </c>
      <c r="I275" s="39"/>
      <c r="J275" s="39"/>
      <c r="K275" s="60">
        <f t="shared" si="2"/>
        <v>0</v>
      </c>
      <c r="L275" s="39"/>
      <c r="M275" s="59">
        <f t="shared" si="3"/>
        <v>0</v>
      </c>
      <c r="N275" s="69">
        <v>0.0</v>
      </c>
      <c r="O275" s="62">
        <f t="shared" si="4"/>
        <v>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4">
        <v>268.0</v>
      </c>
      <c r="C276" s="56" t="s">
        <v>316</v>
      </c>
      <c r="D276" s="67">
        <v>2000.0</v>
      </c>
      <c r="E276" s="56">
        <v>20.0</v>
      </c>
      <c r="F276" s="59">
        <f t="shared" si="6"/>
        <v>40000</v>
      </c>
      <c r="G276" s="56">
        <v>20.0</v>
      </c>
      <c r="H276" s="59">
        <f t="shared" si="1"/>
        <v>40000</v>
      </c>
      <c r="I276" s="39"/>
      <c r="J276" s="39"/>
      <c r="K276" s="60">
        <f t="shared" si="2"/>
        <v>0</v>
      </c>
      <c r="L276" s="39"/>
      <c r="M276" s="59">
        <f t="shared" si="3"/>
        <v>0</v>
      </c>
      <c r="N276" s="69">
        <v>20.0</v>
      </c>
      <c r="O276" s="62">
        <f t="shared" si="4"/>
        <v>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4">
        <v>269.0</v>
      </c>
      <c r="C277" s="56" t="s">
        <v>317</v>
      </c>
      <c r="D277" s="67">
        <v>8000.0</v>
      </c>
      <c r="E277" s="56">
        <v>15.0</v>
      </c>
      <c r="F277" s="59">
        <f t="shared" si="6"/>
        <v>120000</v>
      </c>
      <c r="G277" s="56">
        <v>15.0</v>
      </c>
      <c r="H277" s="59">
        <f t="shared" si="1"/>
        <v>120000</v>
      </c>
      <c r="I277" s="39"/>
      <c r="J277" s="39"/>
      <c r="K277" s="60">
        <f t="shared" si="2"/>
        <v>0</v>
      </c>
      <c r="L277" s="39"/>
      <c r="M277" s="59">
        <f t="shared" si="3"/>
        <v>0</v>
      </c>
      <c r="N277" s="61">
        <v>15.0</v>
      </c>
      <c r="O277" s="62">
        <f t="shared" si="4"/>
        <v>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4">
        <v>270.0</v>
      </c>
      <c r="C278" s="56" t="s">
        <v>318</v>
      </c>
      <c r="D278" s="67">
        <v>92500.0</v>
      </c>
      <c r="E278" s="56">
        <v>4.0</v>
      </c>
      <c r="F278" s="59">
        <f t="shared" si="6"/>
        <v>370000</v>
      </c>
      <c r="G278" s="56">
        <v>4.0</v>
      </c>
      <c r="H278" s="59">
        <f t="shared" si="1"/>
        <v>370000</v>
      </c>
      <c r="I278" s="39"/>
      <c r="J278" s="39"/>
      <c r="K278" s="60">
        <f t="shared" si="2"/>
        <v>0</v>
      </c>
      <c r="L278" s="39"/>
      <c r="M278" s="59">
        <f t="shared" si="3"/>
        <v>0</v>
      </c>
      <c r="N278" s="61">
        <v>4.0</v>
      </c>
      <c r="O278" s="62">
        <f t="shared" si="4"/>
        <v>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4">
        <v>271.0</v>
      </c>
      <c r="C279" s="56" t="s">
        <v>319</v>
      </c>
      <c r="D279" s="70"/>
      <c r="E279" s="56">
        <v>16.0</v>
      </c>
      <c r="F279" s="59">
        <f t="shared" si="6"/>
        <v>0</v>
      </c>
      <c r="G279" s="56">
        <v>16.0</v>
      </c>
      <c r="H279" s="59">
        <f t="shared" si="1"/>
        <v>0</v>
      </c>
      <c r="I279" s="39"/>
      <c r="J279" s="39"/>
      <c r="K279" s="60">
        <f t="shared" si="2"/>
        <v>0</v>
      </c>
      <c r="L279" s="39"/>
      <c r="M279" s="59">
        <f t="shared" si="3"/>
        <v>0</v>
      </c>
      <c r="N279" s="61">
        <v>16.0</v>
      </c>
      <c r="O279" s="62">
        <f t="shared" si="4"/>
        <v>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4">
        <v>272.0</v>
      </c>
      <c r="C280" s="56" t="s">
        <v>320</v>
      </c>
      <c r="D280" s="70"/>
      <c r="E280" s="56">
        <v>4.0</v>
      </c>
      <c r="F280" s="59">
        <f t="shared" si="6"/>
        <v>0</v>
      </c>
      <c r="G280" s="56">
        <v>4.0</v>
      </c>
      <c r="H280" s="59">
        <f t="shared" si="1"/>
        <v>0</v>
      </c>
      <c r="I280" s="39"/>
      <c r="J280" s="39"/>
      <c r="K280" s="60">
        <f t="shared" si="2"/>
        <v>0</v>
      </c>
      <c r="L280" s="39"/>
      <c r="M280" s="59">
        <f t="shared" si="3"/>
        <v>0</v>
      </c>
      <c r="N280" s="61">
        <v>4.0</v>
      </c>
      <c r="O280" s="62">
        <f t="shared" si="4"/>
        <v>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4">
        <v>273.0</v>
      </c>
      <c r="C281" s="56" t="s">
        <v>321</v>
      </c>
      <c r="D281" s="70"/>
      <c r="E281" s="56">
        <v>0.0</v>
      </c>
      <c r="F281" s="59">
        <f t="shared" si="6"/>
        <v>0</v>
      </c>
      <c r="G281" s="39"/>
      <c r="H281" s="59">
        <f t="shared" si="1"/>
        <v>0</v>
      </c>
      <c r="I281" s="39"/>
      <c r="J281" s="39"/>
      <c r="K281" s="60">
        <f t="shared" si="2"/>
        <v>0</v>
      </c>
      <c r="L281" s="39"/>
      <c r="M281" s="59">
        <f t="shared" si="3"/>
        <v>0</v>
      </c>
      <c r="N281" s="73"/>
      <c r="O281" s="62">
        <f t="shared" si="4"/>
        <v>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4">
        <v>274.0</v>
      </c>
      <c r="C282" s="56" t="s">
        <v>322</v>
      </c>
      <c r="D282" s="67">
        <v>3750.0</v>
      </c>
      <c r="E282" s="56">
        <v>3.0</v>
      </c>
      <c r="F282" s="59">
        <f t="shared" si="6"/>
        <v>11250</v>
      </c>
      <c r="G282" s="56">
        <v>3.0</v>
      </c>
      <c r="H282" s="59">
        <f t="shared" si="1"/>
        <v>11250</v>
      </c>
      <c r="I282" s="39"/>
      <c r="J282" s="39"/>
      <c r="K282" s="60">
        <f t="shared" si="2"/>
        <v>0</v>
      </c>
      <c r="L282" s="39"/>
      <c r="M282" s="59">
        <f t="shared" si="3"/>
        <v>0</v>
      </c>
      <c r="N282" s="61">
        <v>3.0</v>
      </c>
      <c r="O282" s="62">
        <f t="shared" si="4"/>
        <v>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4">
        <v>275.0</v>
      </c>
      <c r="C283" s="56" t="s">
        <v>323</v>
      </c>
      <c r="D283" s="67">
        <v>122.86</v>
      </c>
      <c r="E283" s="56">
        <v>730.0</v>
      </c>
      <c r="F283" s="59">
        <f t="shared" si="6"/>
        <v>89687.8</v>
      </c>
      <c r="G283" s="56">
        <v>730.0</v>
      </c>
      <c r="H283" s="59">
        <f t="shared" si="1"/>
        <v>89687.8</v>
      </c>
      <c r="I283" s="39"/>
      <c r="J283" s="39"/>
      <c r="K283" s="60">
        <f t="shared" si="2"/>
        <v>0</v>
      </c>
      <c r="L283" s="39"/>
      <c r="M283" s="59">
        <f t="shared" si="3"/>
        <v>0</v>
      </c>
      <c r="N283" s="61">
        <v>730.0</v>
      </c>
      <c r="O283" s="62">
        <f t="shared" si="4"/>
        <v>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4">
        <v>276.0</v>
      </c>
      <c r="C284" s="56" t="s">
        <v>324</v>
      </c>
      <c r="D284" s="67">
        <v>122.86</v>
      </c>
      <c r="E284" s="56">
        <v>380.0</v>
      </c>
      <c r="F284" s="59">
        <f t="shared" si="6"/>
        <v>46686.8</v>
      </c>
      <c r="G284" s="56">
        <v>380.0</v>
      </c>
      <c r="H284" s="59">
        <f t="shared" si="1"/>
        <v>46686.8</v>
      </c>
      <c r="I284" s="39"/>
      <c r="J284" s="39"/>
      <c r="K284" s="60">
        <f t="shared" si="2"/>
        <v>0</v>
      </c>
      <c r="L284" s="39"/>
      <c r="M284" s="59">
        <f t="shared" si="3"/>
        <v>0</v>
      </c>
      <c r="N284" s="61">
        <v>380.0</v>
      </c>
      <c r="O284" s="62">
        <f t="shared" si="4"/>
        <v>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4">
        <v>277.0</v>
      </c>
      <c r="C285" s="56" t="s">
        <v>325</v>
      </c>
      <c r="D285" s="67">
        <v>122.86</v>
      </c>
      <c r="E285" s="56">
        <v>170.0</v>
      </c>
      <c r="F285" s="59">
        <f t="shared" si="6"/>
        <v>20886.2</v>
      </c>
      <c r="G285" s="56">
        <v>170.0</v>
      </c>
      <c r="H285" s="59">
        <f t="shared" si="1"/>
        <v>20886.2</v>
      </c>
      <c r="I285" s="39"/>
      <c r="J285" s="39"/>
      <c r="K285" s="60">
        <f t="shared" si="2"/>
        <v>0</v>
      </c>
      <c r="L285" s="39"/>
      <c r="M285" s="59">
        <f t="shared" si="3"/>
        <v>0</v>
      </c>
      <c r="N285" s="61">
        <v>170.0</v>
      </c>
      <c r="O285" s="62">
        <f t="shared" si="4"/>
        <v>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4">
        <v>278.0</v>
      </c>
      <c r="C286" s="56" t="s">
        <v>326</v>
      </c>
      <c r="D286" s="67">
        <v>122.86</v>
      </c>
      <c r="E286" s="56">
        <v>420.0</v>
      </c>
      <c r="F286" s="59">
        <f t="shared" si="6"/>
        <v>51601.2</v>
      </c>
      <c r="G286" s="56">
        <v>420.0</v>
      </c>
      <c r="H286" s="59">
        <f t="shared" si="1"/>
        <v>51601.2</v>
      </c>
      <c r="I286" s="39"/>
      <c r="J286" s="39"/>
      <c r="K286" s="60">
        <f t="shared" si="2"/>
        <v>0</v>
      </c>
      <c r="L286" s="39"/>
      <c r="M286" s="59">
        <f t="shared" si="3"/>
        <v>0</v>
      </c>
      <c r="N286" s="61">
        <v>420.0</v>
      </c>
      <c r="O286" s="62">
        <f t="shared" si="4"/>
        <v>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4">
        <v>279.0</v>
      </c>
      <c r="C287" s="56" t="s">
        <v>327</v>
      </c>
      <c r="D287" s="67">
        <v>122.86</v>
      </c>
      <c r="E287" s="56">
        <v>730.0</v>
      </c>
      <c r="F287" s="59">
        <f t="shared" si="6"/>
        <v>89687.8</v>
      </c>
      <c r="G287" s="56">
        <v>730.0</v>
      </c>
      <c r="H287" s="59">
        <f t="shared" si="1"/>
        <v>89687.8</v>
      </c>
      <c r="I287" s="39"/>
      <c r="J287" s="39"/>
      <c r="K287" s="60">
        <f t="shared" si="2"/>
        <v>0</v>
      </c>
      <c r="L287" s="39"/>
      <c r="M287" s="59">
        <f t="shared" si="3"/>
        <v>0</v>
      </c>
      <c r="N287" s="61">
        <v>730.0</v>
      </c>
      <c r="O287" s="62">
        <f t="shared" si="4"/>
        <v>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4">
        <v>280.0</v>
      </c>
      <c r="C288" s="56" t="s">
        <v>328</v>
      </c>
      <c r="D288" s="67">
        <v>122.86</v>
      </c>
      <c r="E288" s="56">
        <v>580.0</v>
      </c>
      <c r="F288" s="59">
        <f t="shared" si="6"/>
        <v>71258.8</v>
      </c>
      <c r="G288" s="56">
        <v>580.0</v>
      </c>
      <c r="H288" s="59">
        <f t="shared" si="1"/>
        <v>71258.8</v>
      </c>
      <c r="I288" s="39"/>
      <c r="J288" s="39"/>
      <c r="K288" s="60">
        <f t="shared" si="2"/>
        <v>0</v>
      </c>
      <c r="L288" s="39"/>
      <c r="M288" s="59">
        <f t="shared" si="3"/>
        <v>0</v>
      </c>
      <c r="N288" s="61">
        <v>580.0</v>
      </c>
      <c r="O288" s="62">
        <f t="shared" si="4"/>
        <v>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4">
        <v>281.0</v>
      </c>
      <c r="C289" s="56" t="s">
        <v>329</v>
      </c>
      <c r="D289" s="67">
        <v>148648.65</v>
      </c>
      <c r="E289" s="64">
        <v>0.4</v>
      </c>
      <c r="F289" s="59">
        <f t="shared" si="6"/>
        <v>59459.46</v>
      </c>
      <c r="G289" s="64">
        <v>0.4</v>
      </c>
      <c r="H289" s="59">
        <f t="shared" si="1"/>
        <v>59459.46</v>
      </c>
      <c r="I289" s="39"/>
      <c r="J289" s="39"/>
      <c r="K289" s="60">
        <f t="shared" si="2"/>
        <v>0</v>
      </c>
      <c r="L289" s="39"/>
      <c r="M289" s="59">
        <f t="shared" si="3"/>
        <v>0</v>
      </c>
      <c r="N289" s="61">
        <v>0.4</v>
      </c>
      <c r="O289" s="62">
        <f t="shared" si="4"/>
        <v>0</v>
      </c>
      <c r="P289" s="1"/>
      <c r="Q289" s="64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4">
        <v>282.0</v>
      </c>
      <c r="C290" s="56" t="s">
        <v>330</v>
      </c>
      <c r="D290" s="67">
        <v>150579.28</v>
      </c>
      <c r="E290" s="64">
        <v>3.6</v>
      </c>
      <c r="F290" s="59">
        <f t="shared" si="6"/>
        <v>542085.408</v>
      </c>
      <c r="G290" s="64">
        <v>3.6</v>
      </c>
      <c r="H290" s="59">
        <f t="shared" si="1"/>
        <v>542085.408</v>
      </c>
      <c r="I290" s="39"/>
      <c r="J290" s="39"/>
      <c r="K290" s="60">
        <f t="shared" si="2"/>
        <v>0</v>
      </c>
      <c r="L290" s="39"/>
      <c r="M290" s="59">
        <f t="shared" si="3"/>
        <v>0</v>
      </c>
      <c r="N290" s="61">
        <v>3.6</v>
      </c>
      <c r="O290" s="62">
        <f t="shared" si="4"/>
        <v>0</v>
      </c>
      <c r="P290" s="1"/>
      <c r="Q290" s="64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4">
        <v>283.0</v>
      </c>
      <c r="C291" s="56" t="s">
        <v>331</v>
      </c>
      <c r="D291" s="67">
        <v>148648.65</v>
      </c>
      <c r="E291" s="64">
        <v>1.92</v>
      </c>
      <c r="F291" s="59">
        <f t="shared" si="6"/>
        <v>285405.408</v>
      </c>
      <c r="G291" s="64">
        <v>1.92</v>
      </c>
      <c r="H291" s="59">
        <f t="shared" si="1"/>
        <v>285405.408</v>
      </c>
      <c r="I291" s="39"/>
      <c r="J291" s="39"/>
      <c r="K291" s="60">
        <f t="shared" si="2"/>
        <v>0</v>
      </c>
      <c r="L291" s="39"/>
      <c r="M291" s="59">
        <f t="shared" si="3"/>
        <v>0</v>
      </c>
      <c r="N291" s="61">
        <v>1.92</v>
      </c>
      <c r="O291" s="62">
        <f t="shared" si="4"/>
        <v>0</v>
      </c>
      <c r="P291" s="1"/>
      <c r="Q291" s="64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4">
        <v>284.0</v>
      </c>
      <c r="C292" s="56" t="s">
        <v>332</v>
      </c>
      <c r="D292" s="67">
        <v>153153.15</v>
      </c>
      <c r="E292" s="64">
        <v>2.19</v>
      </c>
      <c r="F292" s="59">
        <f t="shared" si="6"/>
        <v>335405.3985</v>
      </c>
      <c r="G292" s="64">
        <v>2.19</v>
      </c>
      <c r="H292" s="59">
        <f t="shared" si="1"/>
        <v>335405.3985</v>
      </c>
      <c r="I292" s="39"/>
      <c r="J292" s="39"/>
      <c r="K292" s="60">
        <f t="shared" si="2"/>
        <v>0</v>
      </c>
      <c r="L292" s="39"/>
      <c r="M292" s="59">
        <f t="shared" si="3"/>
        <v>0</v>
      </c>
      <c r="N292" s="61">
        <v>2.19</v>
      </c>
      <c r="O292" s="62">
        <f t="shared" si="4"/>
        <v>0</v>
      </c>
      <c r="P292" s="1"/>
      <c r="Q292" s="64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4">
        <v>285.0</v>
      </c>
      <c r="C293" s="56" t="s">
        <v>333</v>
      </c>
      <c r="D293" s="67">
        <v>152509.91</v>
      </c>
      <c r="E293" s="64">
        <v>4.9</v>
      </c>
      <c r="F293" s="59">
        <f t="shared" si="6"/>
        <v>747298.559</v>
      </c>
      <c r="G293" s="64">
        <v>4.9</v>
      </c>
      <c r="H293" s="59">
        <f t="shared" si="1"/>
        <v>747298.559</v>
      </c>
      <c r="I293" s="39"/>
      <c r="J293" s="39"/>
      <c r="K293" s="60">
        <f t="shared" si="2"/>
        <v>0</v>
      </c>
      <c r="L293" s="39"/>
      <c r="M293" s="59">
        <f t="shared" si="3"/>
        <v>0</v>
      </c>
      <c r="N293" s="61">
        <v>4.9</v>
      </c>
      <c r="O293" s="62">
        <f t="shared" si="4"/>
        <v>0</v>
      </c>
      <c r="P293" s="1"/>
      <c r="Q293" s="64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4">
        <v>286.0</v>
      </c>
      <c r="C294" s="56" t="s">
        <v>334</v>
      </c>
      <c r="D294" s="67">
        <v>153153.15</v>
      </c>
      <c r="E294" s="64">
        <v>2.95</v>
      </c>
      <c r="F294" s="59">
        <f t="shared" si="6"/>
        <v>451801.7925</v>
      </c>
      <c r="G294" s="64">
        <v>2.95</v>
      </c>
      <c r="H294" s="59">
        <f t="shared" si="1"/>
        <v>451801.7925</v>
      </c>
      <c r="I294" s="39"/>
      <c r="J294" s="39"/>
      <c r="K294" s="60">
        <f t="shared" si="2"/>
        <v>0</v>
      </c>
      <c r="L294" s="39"/>
      <c r="M294" s="59">
        <f t="shared" si="3"/>
        <v>0</v>
      </c>
      <c r="N294" s="61">
        <v>2.95</v>
      </c>
      <c r="O294" s="62">
        <f t="shared" si="4"/>
        <v>0</v>
      </c>
      <c r="P294" s="1"/>
      <c r="Q294" s="64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4">
        <v>287.0</v>
      </c>
      <c r="C295" s="56" t="s">
        <v>335</v>
      </c>
      <c r="D295" s="67">
        <v>153153.15</v>
      </c>
      <c r="E295" s="64">
        <v>1.85</v>
      </c>
      <c r="F295" s="59">
        <f t="shared" si="6"/>
        <v>283333.3275</v>
      </c>
      <c r="G295" s="64">
        <v>1.85</v>
      </c>
      <c r="H295" s="59">
        <f t="shared" si="1"/>
        <v>283333.3275</v>
      </c>
      <c r="I295" s="39"/>
      <c r="J295" s="39"/>
      <c r="K295" s="60">
        <f t="shared" si="2"/>
        <v>0</v>
      </c>
      <c r="L295" s="39"/>
      <c r="M295" s="59">
        <f t="shared" si="3"/>
        <v>0</v>
      </c>
      <c r="N295" s="61">
        <v>1.85</v>
      </c>
      <c r="O295" s="62">
        <f t="shared" si="4"/>
        <v>0</v>
      </c>
      <c r="P295" s="1"/>
      <c r="Q295" s="64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4">
        <v>288.0</v>
      </c>
      <c r="C296" s="56" t="s">
        <v>336</v>
      </c>
      <c r="D296" s="67">
        <v>153796.4</v>
      </c>
      <c r="E296" s="64">
        <v>0.87</v>
      </c>
      <c r="F296" s="59">
        <f t="shared" si="6"/>
        <v>133802.868</v>
      </c>
      <c r="G296" s="64">
        <v>0.87</v>
      </c>
      <c r="H296" s="59">
        <f t="shared" si="1"/>
        <v>133802.868</v>
      </c>
      <c r="I296" s="39"/>
      <c r="J296" s="39"/>
      <c r="K296" s="60">
        <f t="shared" si="2"/>
        <v>0</v>
      </c>
      <c r="L296" s="39"/>
      <c r="M296" s="59">
        <f t="shared" si="3"/>
        <v>0</v>
      </c>
      <c r="N296" s="61">
        <v>0.87</v>
      </c>
      <c r="O296" s="62">
        <f t="shared" si="4"/>
        <v>0</v>
      </c>
      <c r="P296" s="1"/>
      <c r="Q296" s="64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4">
        <v>289.0</v>
      </c>
      <c r="C297" s="56" t="s">
        <v>337</v>
      </c>
      <c r="D297" s="67">
        <v>106821.11</v>
      </c>
      <c r="E297" s="64">
        <v>5.5</v>
      </c>
      <c r="F297" s="59">
        <f t="shared" si="6"/>
        <v>587516.105</v>
      </c>
      <c r="G297" s="64">
        <v>5.5</v>
      </c>
      <c r="H297" s="59">
        <f t="shared" si="1"/>
        <v>587516.105</v>
      </c>
      <c r="I297" s="39"/>
      <c r="J297" s="39"/>
      <c r="K297" s="60">
        <f t="shared" si="2"/>
        <v>0</v>
      </c>
      <c r="L297" s="39"/>
      <c r="M297" s="59">
        <f t="shared" si="3"/>
        <v>0</v>
      </c>
      <c r="N297" s="61">
        <v>5.5</v>
      </c>
      <c r="O297" s="62">
        <f t="shared" si="4"/>
        <v>0</v>
      </c>
      <c r="P297" s="1"/>
      <c r="Q297" s="64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4">
        <v>290.0</v>
      </c>
      <c r="C298" s="56" t="s">
        <v>338</v>
      </c>
      <c r="D298" s="67">
        <v>101672.97</v>
      </c>
      <c r="E298" s="64">
        <v>2.41</v>
      </c>
      <c r="F298" s="59">
        <f t="shared" si="6"/>
        <v>245031.8577</v>
      </c>
      <c r="G298" s="64">
        <v>2.41</v>
      </c>
      <c r="H298" s="59">
        <f t="shared" si="1"/>
        <v>245031.8577</v>
      </c>
      <c r="I298" s="39"/>
      <c r="J298" s="39"/>
      <c r="K298" s="60">
        <f t="shared" si="2"/>
        <v>0</v>
      </c>
      <c r="L298" s="39"/>
      <c r="M298" s="59">
        <f t="shared" si="3"/>
        <v>0</v>
      </c>
      <c r="N298" s="61">
        <v>2.41</v>
      </c>
      <c r="O298" s="62">
        <f t="shared" si="4"/>
        <v>0</v>
      </c>
      <c r="P298" s="1"/>
      <c r="Q298" s="64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4">
        <v>291.0</v>
      </c>
      <c r="C299" s="56" t="s">
        <v>339</v>
      </c>
      <c r="D299" s="67">
        <v>99099.1</v>
      </c>
      <c r="E299" s="64">
        <v>1.0</v>
      </c>
      <c r="F299" s="59">
        <f t="shared" si="6"/>
        <v>99099.1</v>
      </c>
      <c r="G299" s="64">
        <v>1.0</v>
      </c>
      <c r="H299" s="59">
        <f t="shared" si="1"/>
        <v>99099.1</v>
      </c>
      <c r="I299" s="39"/>
      <c r="J299" s="39"/>
      <c r="K299" s="60">
        <f t="shared" si="2"/>
        <v>0</v>
      </c>
      <c r="L299" s="39"/>
      <c r="M299" s="59">
        <f t="shared" si="3"/>
        <v>0</v>
      </c>
      <c r="N299" s="61">
        <v>1.0</v>
      </c>
      <c r="O299" s="62">
        <f t="shared" si="4"/>
        <v>0</v>
      </c>
      <c r="P299" s="1"/>
      <c r="Q299" s="64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4">
        <v>292.0</v>
      </c>
      <c r="C300" s="56" t="s">
        <v>340</v>
      </c>
      <c r="D300" s="67">
        <v>240843.0</v>
      </c>
      <c r="E300" s="64">
        <v>2.65</v>
      </c>
      <c r="F300" s="59">
        <f t="shared" si="6"/>
        <v>638233.95</v>
      </c>
      <c r="G300" s="64">
        <v>2.65</v>
      </c>
      <c r="H300" s="59">
        <f t="shared" si="1"/>
        <v>638233.95</v>
      </c>
      <c r="I300" s="39"/>
      <c r="J300" s="39"/>
      <c r="K300" s="60">
        <f t="shared" si="2"/>
        <v>0</v>
      </c>
      <c r="L300" s="39"/>
      <c r="M300" s="59">
        <f t="shared" si="3"/>
        <v>0</v>
      </c>
      <c r="N300" s="61">
        <v>2.65</v>
      </c>
      <c r="O300" s="62">
        <f t="shared" si="4"/>
        <v>0</v>
      </c>
      <c r="P300" s="1"/>
      <c r="Q300" s="64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4">
        <v>293.0</v>
      </c>
      <c r="C301" s="56" t="s">
        <v>341</v>
      </c>
      <c r="D301" s="67">
        <v>38996.14</v>
      </c>
      <c r="E301" s="64">
        <v>3.0</v>
      </c>
      <c r="F301" s="59">
        <f t="shared" si="6"/>
        <v>116988.42</v>
      </c>
      <c r="G301" s="64">
        <v>3.0</v>
      </c>
      <c r="H301" s="59">
        <f t="shared" si="1"/>
        <v>116988.42</v>
      </c>
      <c r="I301" s="39"/>
      <c r="J301" s="39"/>
      <c r="K301" s="60">
        <f t="shared" si="2"/>
        <v>0</v>
      </c>
      <c r="L301" s="39"/>
      <c r="M301" s="59">
        <f t="shared" si="3"/>
        <v>0</v>
      </c>
      <c r="N301" s="61">
        <v>3.0</v>
      </c>
      <c r="O301" s="62">
        <f t="shared" si="4"/>
        <v>0</v>
      </c>
      <c r="P301" s="1"/>
      <c r="Q301" s="64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4">
        <v>294.0</v>
      </c>
      <c r="C302" s="56" t="s">
        <v>342</v>
      </c>
      <c r="D302" s="67">
        <v>85842.98</v>
      </c>
      <c r="E302" s="64">
        <v>2.0</v>
      </c>
      <c r="F302" s="59">
        <f t="shared" si="6"/>
        <v>171685.96</v>
      </c>
      <c r="G302" s="64">
        <v>2.0</v>
      </c>
      <c r="H302" s="59">
        <f t="shared" si="1"/>
        <v>171685.96</v>
      </c>
      <c r="I302" s="39"/>
      <c r="J302" s="39"/>
      <c r="K302" s="60">
        <f t="shared" si="2"/>
        <v>0</v>
      </c>
      <c r="L302" s="39"/>
      <c r="M302" s="59">
        <f t="shared" si="3"/>
        <v>0</v>
      </c>
      <c r="N302" s="61">
        <v>2.0</v>
      </c>
      <c r="O302" s="62">
        <f t="shared" si="4"/>
        <v>0</v>
      </c>
      <c r="P302" s="1"/>
      <c r="Q302" s="64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4">
        <v>295.0</v>
      </c>
      <c r="C303" s="56" t="s">
        <v>343</v>
      </c>
      <c r="D303" s="67">
        <v>2309.91</v>
      </c>
      <c r="E303" s="64">
        <v>84.24</v>
      </c>
      <c r="F303" s="59">
        <f t="shared" si="6"/>
        <v>194586.8184</v>
      </c>
      <c r="G303" s="64">
        <v>84.24</v>
      </c>
      <c r="H303" s="59">
        <f t="shared" si="1"/>
        <v>194586.8184</v>
      </c>
      <c r="I303" s="39"/>
      <c r="J303" s="39"/>
      <c r="K303" s="60">
        <f t="shared" si="2"/>
        <v>0</v>
      </c>
      <c r="L303" s="39"/>
      <c r="M303" s="59">
        <f t="shared" si="3"/>
        <v>0</v>
      </c>
      <c r="N303" s="61">
        <v>84.25</v>
      </c>
      <c r="O303" s="62">
        <f t="shared" si="4"/>
        <v>0.01</v>
      </c>
      <c r="P303" s="1"/>
      <c r="Q303" s="64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4">
        <v>296.0</v>
      </c>
      <c r="C304" s="56" t="s">
        <v>344</v>
      </c>
      <c r="D304" s="67">
        <v>9009.01</v>
      </c>
      <c r="E304" s="64">
        <v>46.0</v>
      </c>
      <c r="F304" s="59">
        <f t="shared" si="6"/>
        <v>414414.46</v>
      </c>
      <c r="G304" s="64">
        <v>46.0</v>
      </c>
      <c r="H304" s="59">
        <f t="shared" si="1"/>
        <v>414414.46</v>
      </c>
      <c r="I304" s="39"/>
      <c r="J304" s="39"/>
      <c r="K304" s="60">
        <f t="shared" si="2"/>
        <v>0</v>
      </c>
      <c r="L304" s="39"/>
      <c r="M304" s="59">
        <f t="shared" si="3"/>
        <v>0</v>
      </c>
      <c r="N304" s="61">
        <v>46.0</v>
      </c>
      <c r="O304" s="62">
        <f t="shared" si="4"/>
        <v>0</v>
      </c>
      <c r="P304" s="1"/>
      <c r="Q304" s="64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4">
        <v>297.0</v>
      </c>
      <c r="C305" s="56" t="s">
        <v>345</v>
      </c>
      <c r="D305" s="67">
        <v>15000.0</v>
      </c>
      <c r="E305" s="64">
        <v>0.0</v>
      </c>
      <c r="F305" s="59">
        <f t="shared" si="6"/>
        <v>0</v>
      </c>
      <c r="G305" s="64">
        <v>0.0</v>
      </c>
      <c r="H305" s="59">
        <f t="shared" si="1"/>
        <v>0</v>
      </c>
      <c r="I305" s="39"/>
      <c r="J305" s="39"/>
      <c r="K305" s="60">
        <f t="shared" si="2"/>
        <v>0</v>
      </c>
      <c r="L305" s="39"/>
      <c r="M305" s="59">
        <f t="shared" si="3"/>
        <v>0</v>
      </c>
      <c r="N305" s="61">
        <v>0.0</v>
      </c>
      <c r="O305" s="62">
        <f t="shared" si="4"/>
        <v>0</v>
      </c>
      <c r="P305" s="1"/>
      <c r="Q305" s="64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4">
        <v>298.0</v>
      </c>
      <c r="C306" s="56" t="s">
        <v>346</v>
      </c>
      <c r="D306" s="67">
        <v>87902.19</v>
      </c>
      <c r="E306" s="64">
        <v>2.15</v>
      </c>
      <c r="F306" s="59">
        <f t="shared" si="6"/>
        <v>188989.7085</v>
      </c>
      <c r="G306" s="64">
        <v>2.15</v>
      </c>
      <c r="H306" s="59">
        <f t="shared" si="1"/>
        <v>188989.7085</v>
      </c>
      <c r="I306" s="39"/>
      <c r="J306" s="39"/>
      <c r="K306" s="60">
        <f t="shared" si="2"/>
        <v>0</v>
      </c>
      <c r="L306" s="39"/>
      <c r="M306" s="59">
        <f t="shared" si="3"/>
        <v>0</v>
      </c>
      <c r="N306" s="61">
        <v>2.15</v>
      </c>
      <c r="O306" s="62">
        <f t="shared" si="4"/>
        <v>0</v>
      </c>
      <c r="P306" s="1"/>
      <c r="Q306" s="64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4">
        <v>299.0</v>
      </c>
      <c r="C307" s="56" t="s">
        <v>347</v>
      </c>
      <c r="D307" s="67">
        <v>152509.91</v>
      </c>
      <c r="E307" s="64">
        <v>1.0</v>
      </c>
      <c r="F307" s="59">
        <f t="shared" si="6"/>
        <v>152509.91</v>
      </c>
      <c r="G307" s="64">
        <v>1.0</v>
      </c>
      <c r="H307" s="59">
        <f t="shared" si="1"/>
        <v>152509.91</v>
      </c>
      <c r="I307" s="39"/>
      <c r="J307" s="39"/>
      <c r="K307" s="60">
        <f t="shared" si="2"/>
        <v>0</v>
      </c>
      <c r="L307" s="39"/>
      <c r="M307" s="59">
        <f t="shared" si="3"/>
        <v>0</v>
      </c>
      <c r="N307" s="61">
        <v>1.0</v>
      </c>
      <c r="O307" s="62">
        <f t="shared" si="4"/>
        <v>0</v>
      </c>
      <c r="P307" s="1"/>
      <c r="Q307" s="64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4">
        <v>300.0</v>
      </c>
      <c r="C308" s="56" t="s">
        <v>348</v>
      </c>
      <c r="D308" s="67">
        <v>153796.66</v>
      </c>
      <c r="E308" s="64">
        <v>1.35</v>
      </c>
      <c r="F308" s="59">
        <f t="shared" si="6"/>
        <v>207625.491</v>
      </c>
      <c r="G308" s="64">
        <v>1.35</v>
      </c>
      <c r="H308" s="59">
        <f t="shared" si="1"/>
        <v>207625.491</v>
      </c>
      <c r="I308" s="39"/>
      <c r="J308" s="39"/>
      <c r="K308" s="60">
        <f t="shared" si="2"/>
        <v>0</v>
      </c>
      <c r="L308" s="39"/>
      <c r="M308" s="59">
        <f t="shared" si="3"/>
        <v>0</v>
      </c>
      <c r="N308" s="61">
        <v>1.35</v>
      </c>
      <c r="O308" s="62">
        <f t="shared" si="4"/>
        <v>0</v>
      </c>
      <c r="P308" s="1"/>
      <c r="Q308" s="64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4">
        <v>301.0</v>
      </c>
      <c r="C309" s="56" t="s">
        <v>349</v>
      </c>
      <c r="D309" s="67">
        <v>321298.0</v>
      </c>
      <c r="E309" s="64">
        <v>2.6</v>
      </c>
      <c r="F309" s="59">
        <f t="shared" si="6"/>
        <v>835374.8</v>
      </c>
      <c r="G309" s="64">
        <v>2.6</v>
      </c>
      <c r="H309" s="59">
        <f t="shared" si="1"/>
        <v>835374.8</v>
      </c>
      <c r="I309" s="39"/>
      <c r="J309" s="39"/>
      <c r="K309" s="60">
        <f t="shared" si="2"/>
        <v>0</v>
      </c>
      <c r="L309" s="39"/>
      <c r="M309" s="59">
        <f t="shared" si="3"/>
        <v>0</v>
      </c>
      <c r="N309" s="61">
        <v>2.6</v>
      </c>
      <c r="O309" s="62">
        <f t="shared" si="4"/>
        <v>0</v>
      </c>
      <c r="P309" s="1"/>
      <c r="Q309" s="64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4">
        <v>302.0</v>
      </c>
      <c r="C310" s="56" t="s">
        <v>350</v>
      </c>
      <c r="D310" s="67">
        <v>18918.92</v>
      </c>
      <c r="E310" s="64">
        <v>5.7</v>
      </c>
      <c r="F310" s="59">
        <f t="shared" si="6"/>
        <v>107837.844</v>
      </c>
      <c r="G310" s="64">
        <v>5.7</v>
      </c>
      <c r="H310" s="59">
        <f t="shared" si="1"/>
        <v>107837.844</v>
      </c>
      <c r="I310" s="39"/>
      <c r="J310" s="39"/>
      <c r="K310" s="60">
        <f t="shared" si="2"/>
        <v>0</v>
      </c>
      <c r="L310" s="39"/>
      <c r="M310" s="59">
        <f t="shared" si="3"/>
        <v>0</v>
      </c>
      <c r="N310" s="61">
        <v>5.7</v>
      </c>
      <c r="O310" s="62">
        <f t="shared" si="4"/>
        <v>0</v>
      </c>
      <c r="P310" s="1"/>
      <c r="Q310" s="64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4">
        <v>303.0</v>
      </c>
      <c r="C311" s="56" t="s">
        <v>351</v>
      </c>
      <c r="D311" s="67">
        <v>33719.43</v>
      </c>
      <c r="E311" s="64">
        <v>0.0</v>
      </c>
      <c r="F311" s="59">
        <f t="shared" si="6"/>
        <v>0</v>
      </c>
      <c r="G311" s="64">
        <v>0.0</v>
      </c>
      <c r="H311" s="59">
        <f t="shared" si="1"/>
        <v>0</v>
      </c>
      <c r="I311" s="39"/>
      <c r="J311" s="39"/>
      <c r="K311" s="60">
        <f t="shared" si="2"/>
        <v>0</v>
      </c>
      <c r="L311" s="39"/>
      <c r="M311" s="59">
        <f t="shared" si="3"/>
        <v>0</v>
      </c>
      <c r="N311" s="69">
        <v>0.0</v>
      </c>
      <c r="O311" s="62">
        <f t="shared" si="4"/>
        <v>0</v>
      </c>
      <c r="P311" s="1"/>
      <c r="Q311" s="64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4">
        <v>304.0</v>
      </c>
      <c r="C312" s="56" t="s">
        <v>352</v>
      </c>
      <c r="D312" s="67">
        <v>23423.42</v>
      </c>
      <c r="E312" s="64">
        <v>42.72</v>
      </c>
      <c r="F312" s="59">
        <f t="shared" si="6"/>
        <v>1000648.502</v>
      </c>
      <c r="G312" s="64">
        <v>42.72</v>
      </c>
      <c r="H312" s="59">
        <f t="shared" si="1"/>
        <v>1000648.502</v>
      </c>
      <c r="I312" s="39"/>
      <c r="J312" s="39"/>
      <c r="K312" s="60">
        <f t="shared" si="2"/>
        <v>0</v>
      </c>
      <c r="L312" s="39"/>
      <c r="M312" s="59">
        <f t="shared" si="3"/>
        <v>0</v>
      </c>
      <c r="N312" s="69">
        <v>42.72</v>
      </c>
      <c r="O312" s="62">
        <f t="shared" si="4"/>
        <v>0</v>
      </c>
      <c r="P312" s="1"/>
      <c r="Q312" s="64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4">
        <v>305.0</v>
      </c>
      <c r="C313" s="56" t="s">
        <v>353</v>
      </c>
      <c r="D313" s="67">
        <v>6628.05</v>
      </c>
      <c r="E313" s="64">
        <v>14.0</v>
      </c>
      <c r="F313" s="59">
        <f t="shared" si="6"/>
        <v>92792.7</v>
      </c>
      <c r="G313" s="64">
        <v>14.0</v>
      </c>
      <c r="H313" s="59">
        <f t="shared" si="1"/>
        <v>92792.7</v>
      </c>
      <c r="I313" s="39"/>
      <c r="J313" s="39"/>
      <c r="K313" s="60">
        <f t="shared" si="2"/>
        <v>0</v>
      </c>
      <c r="L313" s="39"/>
      <c r="M313" s="59">
        <f t="shared" si="3"/>
        <v>0</v>
      </c>
      <c r="N313" s="69">
        <v>14.0</v>
      </c>
      <c r="O313" s="62">
        <f t="shared" si="4"/>
        <v>0</v>
      </c>
      <c r="P313" s="1"/>
      <c r="Q313" s="64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4">
        <v>306.0</v>
      </c>
      <c r="C314" s="56" t="s">
        <v>354</v>
      </c>
      <c r="D314" s="67">
        <v>6628.05</v>
      </c>
      <c r="E314" s="64">
        <v>13.5</v>
      </c>
      <c r="F314" s="59">
        <f t="shared" si="6"/>
        <v>89478.675</v>
      </c>
      <c r="G314" s="64">
        <v>13.5</v>
      </c>
      <c r="H314" s="59">
        <f t="shared" si="1"/>
        <v>89478.675</v>
      </c>
      <c r="I314" s="39"/>
      <c r="J314" s="39"/>
      <c r="K314" s="60">
        <f t="shared" si="2"/>
        <v>0</v>
      </c>
      <c r="L314" s="39"/>
      <c r="M314" s="59">
        <f t="shared" si="3"/>
        <v>0</v>
      </c>
      <c r="N314" s="69">
        <v>13.5</v>
      </c>
      <c r="O314" s="62">
        <f t="shared" si="4"/>
        <v>0</v>
      </c>
      <c r="P314" s="1"/>
      <c r="Q314" s="64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4">
        <v>307.0</v>
      </c>
      <c r="C315" s="56" t="s">
        <v>355</v>
      </c>
      <c r="D315" s="67">
        <v>6628.05</v>
      </c>
      <c r="E315" s="64">
        <v>5.0</v>
      </c>
      <c r="F315" s="59">
        <f t="shared" si="6"/>
        <v>33140.25</v>
      </c>
      <c r="G315" s="64">
        <v>5.0</v>
      </c>
      <c r="H315" s="59">
        <f t="shared" si="1"/>
        <v>33140.25</v>
      </c>
      <c r="I315" s="39"/>
      <c r="J315" s="39"/>
      <c r="K315" s="60">
        <f t="shared" si="2"/>
        <v>0</v>
      </c>
      <c r="L315" s="39"/>
      <c r="M315" s="59">
        <f t="shared" si="3"/>
        <v>0</v>
      </c>
      <c r="N315" s="69">
        <v>5.0</v>
      </c>
      <c r="O315" s="62">
        <f t="shared" si="4"/>
        <v>0</v>
      </c>
      <c r="P315" s="1"/>
      <c r="Q315" s="64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4">
        <v>308.0</v>
      </c>
      <c r="C316" s="56" t="s">
        <v>356</v>
      </c>
      <c r="D316" s="67">
        <v>68500.0</v>
      </c>
      <c r="E316" s="64">
        <v>0.0</v>
      </c>
      <c r="F316" s="59">
        <f t="shared" si="6"/>
        <v>0</v>
      </c>
      <c r="G316" s="64">
        <v>0.0</v>
      </c>
      <c r="H316" s="59">
        <f t="shared" si="1"/>
        <v>0</v>
      </c>
      <c r="I316" s="39"/>
      <c r="J316" s="39"/>
      <c r="K316" s="60">
        <f t="shared" si="2"/>
        <v>0</v>
      </c>
      <c r="L316" s="39"/>
      <c r="M316" s="59">
        <f t="shared" si="3"/>
        <v>0</v>
      </c>
      <c r="N316" s="69">
        <v>0.0</v>
      </c>
      <c r="O316" s="62">
        <f t="shared" si="4"/>
        <v>0</v>
      </c>
      <c r="P316" s="1"/>
      <c r="Q316" s="64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4">
        <v>309.0</v>
      </c>
      <c r="C317" s="56" t="s">
        <v>357</v>
      </c>
      <c r="D317" s="67">
        <v>88000.0</v>
      </c>
      <c r="E317" s="64">
        <v>1.0</v>
      </c>
      <c r="F317" s="59">
        <f t="shared" si="6"/>
        <v>88000</v>
      </c>
      <c r="G317" s="64">
        <v>1.0</v>
      </c>
      <c r="H317" s="59">
        <f t="shared" si="1"/>
        <v>88000</v>
      </c>
      <c r="I317" s="39"/>
      <c r="J317" s="39"/>
      <c r="K317" s="60">
        <f t="shared" si="2"/>
        <v>0</v>
      </c>
      <c r="L317" s="39"/>
      <c r="M317" s="59">
        <f t="shared" si="3"/>
        <v>0</v>
      </c>
      <c r="N317" s="69">
        <v>1.0</v>
      </c>
      <c r="O317" s="62">
        <f t="shared" si="4"/>
        <v>0</v>
      </c>
      <c r="P317" s="1"/>
      <c r="Q317" s="64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4">
        <v>310.0</v>
      </c>
      <c r="C318" s="56" t="s">
        <v>358</v>
      </c>
      <c r="D318" s="67">
        <v>148648.65</v>
      </c>
      <c r="E318" s="64">
        <v>2.4</v>
      </c>
      <c r="F318" s="59">
        <f t="shared" si="6"/>
        <v>356756.76</v>
      </c>
      <c r="G318" s="64">
        <v>2.4</v>
      </c>
      <c r="H318" s="59">
        <f t="shared" si="1"/>
        <v>356756.76</v>
      </c>
      <c r="I318" s="39"/>
      <c r="J318" s="39"/>
      <c r="K318" s="60">
        <f t="shared" si="2"/>
        <v>0</v>
      </c>
      <c r="L318" s="39"/>
      <c r="M318" s="59">
        <f t="shared" si="3"/>
        <v>0</v>
      </c>
      <c r="N318" s="69">
        <v>2.4</v>
      </c>
      <c r="O318" s="62">
        <f t="shared" si="4"/>
        <v>0</v>
      </c>
      <c r="P318" s="1"/>
      <c r="Q318" s="64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4">
        <v>311.0</v>
      </c>
      <c r="C319" s="56" t="s">
        <v>359</v>
      </c>
      <c r="D319" s="67">
        <v>148648.65</v>
      </c>
      <c r="E319" s="64">
        <v>2.2</v>
      </c>
      <c r="F319" s="59">
        <f t="shared" si="6"/>
        <v>327027.03</v>
      </c>
      <c r="G319" s="64">
        <v>2.2</v>
      </c>
      <c r="H319" s="59">
        <f t="shared" si="1"/>
        <v>327027.03</v>
      </c>
      <c r="I319" s="39"/>
      <c r="J319" s="39"/>
      <c r="K319" s="60">
        <f t="shared" si="2"/>
        <v>0</v>
      </c>
      <c r="L319" s="39"/>
      <c r="M319" s="59">
        <f t="shared" si="3"/>
        <v>0</v>
      </c>
      <c r="N319" s="69">
        <v>2.2</v>
      </c>
      <c r="O319" s="62">
        <f t="shared" si="4"/>
        <v>0</v>
      </c>
      <c r="P319" s="1"/>
      <c r="Q319" s="64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4">
        <v>312.0</v>
      </c>
      <c r="C320" s="56" t="s">
        <v>360</v>
      </c>
      <c r="D320" s="67">
        <v>148648.65</v>
      </c>
      <c r="E320" s="64">
        <v>0.8</v>
      </c>
      <c r="F320" s="59">
        <f t="shared" si="6"/>
        <v>118918.92</v>
      </c>
      <c r="G320" s="64">
        <v>0.8</v>
      </c>
      <c r="H320" s="59">
        <f t="shared" si="1"/>
        <v>118918.92</v>
      </c>
      <c r="I320" s="39"/>
      <c r="J320" s="39"/>
      <c r="K320" s="60">
        <f t="shared" si="2"/>
        <v>0</v>
      </c>
      <c r="L320" s="39"/>
      <c r="M320" s="59">
        <f t="shared" si="3"/>
        <v>0</v>
      </c>
      <c r="N320" s="69">
        <v>0.8</v>
      </c>
      <c r="O320" s="62">
        <f t="shared" si="4"/>
        <v>0</v>
      </c>
      <c r="P320" s="1"/>
      <c r="Q320" s="64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4">
        <v>313.0</v>
      </c>
      <c r="C321" s="56" t="s">
        <v>361</v>
      </c>
      <c r="D321" s="67">
        <v>148648.65</v>
      </c>
      <c r="E321" s="64">
        <v>2.9</v>
      </c>
      <c r="F321" s="59">
        <f t="shared" si="6"/>
        <v>431081.085</v>
      </c>
      <c r="G321" s="64">
        <v>2.9</v>
      </c>
      <c r="H321" s="59">
        <f t="shared" si="1"/>
        <v>431081.085</v>
      </c>
      <c r="I321" s="39"/>
      <c r="J321" s="39"/>
      <c r="K321" s="60">
        <f t="shared" si="2"/>
        <v>0</v>
      </c>
      <c r="L321" s="39"/>
      <c r="M321" s="59">
        <f t="shared" si="3"/>
        <v>0</v>
      </c>
      <c r="N321" s="69">
        <v>2.9</v>
      </c>
      <c r="O321" s="62">
        <f t="shared" si="4"/>
        <v>0</v>
      </c>
      <c r="P321" s="1"/>
      <c r="Q321" s="64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4">
        <v>314.0</v>
      </c>
      <c r="C322" s="56" t="s">
        <v>362</v>
      </c>
      <c r="D322" s="67">
        <v>148648.65</v>
      </c>
      <c r="E322" s="64">
        <v>0.0</v>
      </c>
      <c r="F322" s="59">
        <f t="shared" si="6"/>
        <v>0</v>
      </c>
      <c r="G322" s="64">
        <v>0.0</v>
      </c>
      <c r="H322" s="59">
        <f t="shared" si="1"/>
        <v>0</v>
      </c>
      <c r="I322" s="39"/>
      <c r="J322" s="39"/>
      <c r="K322" s="60">
        <f t="shared" si="2"/>
        <v>0</v>
      </c>
      <c r="L322" s="39"/>
      <c r="M322" s="59">
        <f t="shared" si="3"/>
        <v>0</v>
      </c>
      <c r="N322" s="69">
        <v>0.0</v>
      </c>
      <c r="O322" s="62">
        <f t="shared" si="4"/>
        <v>0</v>
      </c>
      <c r="P322" s="1"/>
      <c r="Q322" s="64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4">
        <v>315.0</v>
      </c>
      <c r="C323" s="56" t="s">
        <v>363</v>
      </c>
      <c r="D323" s="67">
        <v>148648.65</v>
      </c>
      <c r="E323" s="64">
        <v>2.0</v>
      </c>
      <c r="F323" s="59">
        <f t="shared" si="6"/>
        <v>297297.3</v>
      </c>
      <c r="G323" s="64">
        <v>2.0</v>
      </c>
      <c r="H323" s="59">
        <f t="shared" si="1"/>
        <v>297297.3</v>
      </c>
      <c r="I323" s="39"/>
      <c r="J323" s="39"/>
      <c r="K323" s="60">
        <f t="shared" si="2"/>
        <v>0</v>
      </c>
      <c r="L323" s="39"/>
      <c r="M323" s="59">
        <f t="shared" si="3"/>
        <v>0</v>
      </c>
      <c r="N323" s="69">
        <v>2.0</v>
      </c>
      <c r="O323" s="62">
        <f t="shared" si="4"/>
        <v>0</v>
      </c>
      <c r="P323" s="1"/>
      <c r="Q323" s="64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4">
        <v>316.0</v>
      </c>
      <c r="C324" s="56" t="s">
        <v>364</v>
      </c>
      <c r="D324" s="67">
        <v>148648.65</v>
      </c>
      <c r="E324" s="64">
        <v>2.4</v>
      </c>
      <c r="F324" s="59">
        <f t="shared" si="6"/>
        <v>356756.76</v>
      </c>
      <c r="G324" s="64">
        <v>2.4</v>
      </c>
      <c r="H324" s="59">
        <f t="shared" si="1"/>
        <v>356756.76</v>
      </c>
      <c r="I324" s="39"/>
      <c r="J324" s="39"/>
      <c r="K324" s="60">
        <f t="shared" si="2"/>
        <v>0</v>
      </c>
      <c r="L324" s="39"/>
      <c r="M324" s="59">
        <f t="shared" si="3"/>
        <v>0</v>
      </c>
      <c r="N324" s="69">
        <v>2.4</v>
      </c>
      <c r="O324" s="62">
        <f t="shared" si="4"/>
        <v>0</v>
      </c>
      <c r="P324" s="1"/>
      <c r="Q324" s="64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4">
        <v>317.0</v>
      </c>
      <c r="C325" s="56" t="s">
        <v>365</v>
      </c>
      <c r="D325" s="67">
        <v>148648.65</v>
      </c>
      <c r="E325" s="64">
        <v>0.45</v>
      </c>
      <c r="F325" s="59">
        <f t="shared" si="6"/>
        <v>66891.8925</v>
      </c>
      <c r="G325" s="64">
        <v>0.45</v>
      </c>
      <c r="H325" s="59">
        <f t="shared" si="1"/>
        <v>66891.8925</v>
      </c>
      <c r="I325" s="39"/>
      <c r="J325" s="39"/>
      <c r="K325" s="60">
        <f t="shared" si="2"/>
        <v>0</v>
      </c>
      <c r="L325" s="39"/>
      <c r="M325" s="59">
        <f t="shared" si="3"/>
        <v>0</v>
      </c>
      <c r="N325" s="69">
        <v>0.45</v>
      </c>
      <c r="O325" s="62">
        <f t="shared" si="4"/>
        <v>0</v>
      </c>
      <c r="P325" s="1"/>
      <c r="Q325" s="64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4">
        <v>318.0</v>
      </c>
      <c r="C326" s="56" t="s">
        <v>366</v>
      </c>
      <c r="D326" s="67">
        <v>148648.65</v>
      </c>
      <c r="E326" s="64">
        <v>1.8</v>
      </c>
      <c r="F326" s="59">
        <f t="shared" si="6"/>
        <v>267567.57</v>
      </c>
      <c r="G326" s="64">
        <v>1.8</v>
      </c>
      <c r="H326" s="59">
        <f t="shared" si="1"/>
        <v>267567.57</v>
      </c>
      <c r="I326" s="39"/>
      <c r="J326" s="39"/>
      <c r="K326" s="60">
        <f t="shared" si="2"/>
        <v>0</v>
      </c>
      <c r="L326" s="39"/>
      <c r="M326" s="59">
        <f t="shared" si="3"/>
        <v>0</v>
      </c>
      <c r="N326" s="69">
        <v>1.8</v>
      </c>
      <c r="O326" s="62">
        <f t="shared" si="4"/>
        <v>0</v>
      </c>
      <c r="P326" s="1"/>
      <c r="Q326" s="64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4">
        <v>319.0</v>
      </c>
      <c r="C327" s="56" t="s">
        <v>367</v>
      </c>
      <c r="D327" s="67">
        <v>87387.39</v>
      </c>
      <c r="E327" s="64">
        <v>0.0</v>
      </c>
      <c r="F327" s="59">
        <f t="shared" si="6"/>
        <v>0</v>
      </c>
      <c r="G327" s="64">
        <v>0.0</v>
      </c>
      <c r="H327" s="59">
        <f t="shared" si="1"/>
        <v>0</v>
      </c>
      <c r="I327" s="39"/>
      <c r="J327" s="39"/>
      <c r="K327" s="60">
        <f t="shared" si="2"/>
        <v>0</v>
      </c>
      <c r="L327" s="39"/>
      <c r="M327" s="59">
        <f t="shared" si="3"/>
        <v>0</v>
      </c>
      <c r="N327" s="69">
        <v>0.0</v>
      </c>
      <c r="O327" s="62">
        <f t="shared" si="4"/>
        <v>0</v>
      </c>
      <c r="P327" s="1"/>
      <c r="Q327" s="64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4">
        <v>320.0</v>
      </c>
      <c r="C328" s="56" t="s">
        <v>368</v>
      </c>
      <c r="D328" s="67">
        <v>99099.1</v>
      </c>
      <c r="E328" s="64">
        <v>0.9</v>
      </c>
      <c r="F328" s="59">
        <f t="shared" si="6"/>
        <v>89189.19</v>
      </c>
      <c r="G328" s="64">
        <v>0.9</v>
      </c>
      <c r="H328" s="59">
        <f t="shared" si="1"/>
        <v>89189.19</v>
      </c>
      <c r="I328" s="39"/>
      <c r="J328" s="39"/>
      <c r="K328" s="60">
        <f t="shared" si="2"/>
        <v>0</v>
      </c>
      <c r="L328" s="39"/>
      <c r="M328" s="59">
        <f t="shared" si="3"/>
        <v>0</v>
      </c>
      <c r="N328" s="69">
        <v>0.9</v>
      </c>
      <c r="O328" s="62">
        <f t="shared" si="4"/>
        <v>0</v>
      </c>
      <c r="P328" s="1"/>
      <c r="Q328" s="64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4">
        <v>321.0</v>
      </c>
      <c r="C329" s="56" t="s">
        <v>369</v>
      </c>
      <c r="D329" s="67">
        <v>25000.0</v>
      </c>
      <c r="E329" s="64">
        <v>2.0</v>
      </c>
      <c r="F329" s="59">
        <f t="shared" si="6"/>
        <v>50000</v>
      </c>
      <c r="G329" s="64">
        <v>2.0</v>
      </c>
      <c r="H329" s="59">
        <f t="shared" si="1"/>
        <v>50000</v>
      </c>
      <c r="I329" s="39"/>
      <c r="J329" s="39"/>
      <c r="K329" s="60">
        <f t="shared" si="2"/>
        <v>0</v>
      </c>
      <c r="L329" s="39"/>
      <c r="M329" s="59">
        <f t="shared" si="3"/>
        <v>0</v>
      </c>
      <c r="N329" s="69">
        <v>2.0</v>
      </c>
      <c r="O329" s="62">
        <f t="shared" si="4"/>
        <v>0</v>
      </c>
      <c r="P329" s="1"/>
      <c r="Q329" s="64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4">
        <v>322.0</v>
      </c>
      <c r="C330" s="56" t="s">
        <v>370</v>
      </c>
      <c r="D330" s="67">
        <v>105405.41</v>
      </c>
      <c r="E330" s="64">
        <v>2.0</v>
      </c>
      <c r="F330" s="59">
        <f t="shared" si="6"/>
        <v>210810.82</v>
      </c>
      <c r="G330" s="64">
        <v>2.0</v>
      </c>
      <c r="H330" s="59">
        <f t="shared" si="1"/>
        <v>210810.82</v>
      </c>
      <c r="I330" s="39"/>
      <c r="J330" s="39"/>
      <c r="K330" s="60">
        <f t="shared" si="2"/>
        <v>0</v>
      </c>
      <c r="L330" s="39"/>
      <c r="M330" s="59">
        <f t="shared" si="3"/>
        <v>0</v>
      </c>
      <c r="N330" s="69">
        <v>2.0</v>
      </c>
      <c r="O330" s="62">
        <f t="shared" si="4"/>
        <v>0</v>
      </c>
      <c r="P330" s="1"/>
      <c r="Q330" s="64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4">
        <v>323.0</v>
      </c>
      <c r="C331" s="56" t="s">
        <v>371</v>
      </c>
      <c r="D331" s="67">
        <v>10000.0</v>
      </c>
      <c r="E331" s="64">
        <v>1.0</v>
      </c>
      <c r="F331" s="59">
        <f t="shared" si="6"/>
        <v>10000</v>
      </c>
      <c r="G331" s="64">
        <v>1.0</v>
      </c>
      <c r="H331" s="59">
        <f t="shared" si="1"/>
        <v>10000</v>
      </c>
      <c r="I331" s="39"/>
      <c r="J331" s="39"/>
      <c r="K331" s="60">
        <f t="shared" si="2"/>
        <v>0</v>
      </c>
      <c r="L331" s="39"/>
      <c r="M331" s="59">
        <f t="shared" si="3"/>
        <v>0</v>
      </c>
      <c r="N331" s="69">
        <v>1.0</v>
      </c>
      <c r="O331" s="62">
        <f t="shared" si="4"/>
        <v>0</v>
      </c>
      <c r="P331" s="1"/>
      <c r="Q331" s="64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4">
        <v>324.0</v>
      </c>
      <c r="C332" s="56" t="s">
        <v>372</v>
      </c>
      <c r="D332" s="67">
        <v>100000.0</v>
      </c>
      <c r="E332" s="64">
        <v>1.0</v>
      </c>
      <c r="F332" s="59">
        <f t="shared" si="6"/>
        <v>100000</v>
      </c>
      <c r="G332" s="64">
        <v>1.0</v>
      </c>
      <c r="H332" s="59">
        <f t="shared" si="1"/>
        <v>100000</v>
      </c>
      <c r="I332" s="39"/>
      <c r="J332" s="39"/>
      <c r="K332" s="60">
        <f t="shared" si="2"/>
        <v>0</v>
      </c>
      <c r="L332" s="39"/>
      <c r="M332" s="59">
        <f t="shared" si="3"/>
        <v>0</v>
      </c>
      <c r="N332" s="69">
        <v>1.0</v>
      </c>
      <c r="O332" s="62">
        <f t="shared" si="4"/>
        <v>0</v>
      </c>
      <c r="P332" s="1"/>
      <c r="Q332" s="64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4">
        <v>325.0</v>
      </c>
      <c r="C333" s="56" t="s">
        <v>373</v>
      </c>
      <c r="D333" s="67">
        <v>70000.0</v>
      </c>
      <c r="E333" s="64">
        <v>4.0</v>
      </c>
      <c r="F333" s="59">
        <f t="shared" si="6"/>
        <v>280000</v>
      </c>
      <c r="G333" s="64">
        <v>4.0</v>
      </c>
      <c r="H333" s="59">
        <f t="shared" si="1"/>
        <v>280000</v>
      </c>
      <c r="I333" s="39"/>
      <c r="J333" s="39"/>
      <c r="K333" s="60">
        <f t="shared" si="2"/>
        <v>0</v>
      </c>
      <c r="L333" s="39"/>
      <c r="M333" s="59">
        <f t="shared" si="3"/>
        <v>0</v>
      </c>
      <c r="N333" s="69">
        <v>4.0</v>
      </c>
      <c r="O333" s="62">
        <f t="shared" si="4"/>
        <v>0</v>
      </c>
      <c r="P333" s="1"/>
      <c r="Q333" s="64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4">
        <v>326.0</v>
      </c>
      <c r="C334" s="56" t="s">
        <v>374</v>
      </c>
      <c r="D334" s="67">
        <v>60000.0</v>
      </c>
      <c r="E334" s="64">
        <v>0.5</v>
      </c>
      <c r="F334" s="59">
        <f t="shared" si="6"/>
        <v>30000</v>
      </c>
      <c r="G334" s="64">
        <v>0.5</v>
      </c>
      <c r="H334" s="59">
        <f t="shared" si="1"/>
        <v>30000</v>
      </c>
      <c r="I334" s="39"/>
      <c r="J334" s="39"/>
      <c r="K334" s="60">
        <f t="shared" si="2"/>
        <v>0</v>
      </c>
      <c r="L334" s="39"/>
      <c r="M334" s="59">
        <f t="shared" si="3"/>
        <v>0</v>
      </c>
      <c r="N334" s="69">
        <v>0.5</v>
      </c>
      <c r="O334" s="62">
        <f t="shared" si="4"/>
        <v>0</v>
      </c>
      <c r="P334" s="1"/>
      <c r="Q334" s="64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4">
        <v>327.0</v>
      </c>
      <c r="C335" s="56" t="s">
        <v>375</v>
      </c>
      <c r="D335" s="67">
        <v>87387.0</v>
      </c>
      <c r="E335" s="64">
        <v>0.0</v>
      </c>
      <c r="F335" s="59">
        <f t="shared" si="6"/>
        <v>0</v>
      </c>
      <c r="G335" s="64">
        <v>0.0</v>
      </c>
      <c r="H335" s="59">
        <f t="shared" si="1"/>
        <v>0</v>
      </c>
      <c r="I335" s="39"/>
      <c r="J335" s="39"/>
      <c r="K335" s="60">
        <f t="shared" si="2"/>
        <v>0</v>
      </c>
      <c r="L335" s="39"/>
      <c r="M335" s="59">
        <f t="shared" si="3"/>
        <v>0</v>
      </c>
      <c r="N335" s="69">
        <v>0.0</v>
      </c>
      <c r="O335" s="62">
        <f t="shared" si="4"/>
        <v>0</v>
      </c>
      <c r="P335" s="1"/>
      <c r="Q335" s="64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4">
        <v>328.0</v>
      </c>
      <c r="C336" s="56" t="s">
        <v>376</v>
      </c>
      <c r="D336" s="67">
        <v>87387.0</v>
      </c>
      <c r="E336" s="64">
        <v>0.0</v>
      </c>
      <c r="F336" s="59">
        <f t="shared" si="6"/>
        <v>0</v>
      </c>
      <c r="G336" s="64">
        <v>0.0</v>
      </c>
      <c r="H336" s="59">
        <f t="shared" si="1"/>
        <v>0</v>
      </c>
      <c r="I336" s="39"/>
      <c r="J336" s="39"/>
      <c r="K336" s="60">
        <f t="shared" si="2"/>
        <v>0</v>
      </c>
      <c r="L336" s="39"/>
      <c r="M336" s="59">
        <f t="shared" si="3"/>
        <v>0</v>
      </c>
      <c r="N336" s="69">
        <v>0.0</v>
      </c>
      <c r="O336" s="62">
        <f t="shared" si="4"/>
        <v>0</v>
      </c>
      <c r="P336" s="1"/>
      <c r="Q336" s="64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4">
        <v>329.0</v>
      </c>
      <c r="C337" s="56" t="s">
        <v>377</v>
      </c>
      <c r="D337" s="67">
        <v>50000.0</v>
      </c>
      <c r="E337" s="64">
        <v>0.0</v>
      </c>
      <c r="F337" s="59">
        <f t="shared" si="6"/>
        <v>0</v>
      </c>
      <c r="G337" s="64">
        <v>0.0</v>
      </c>
      <c r="H337" s="59">
        <f t="shared" si="1"/>
        <v>0</v>
      </c>
      <c r="I337" s="39"/>
      <c r="J337" s="39"/>
      <c r="K337" s="60">
        <f t="shared" si="2"/>
        <v>0</v>
      </c>
      <c r="L337" s="39"/>
      <c r="M337" s="59">
        <f t="shared" si="3"/>
        <v>0</v>
      </c>
      <c r="N337" s="69">
        <v>0.0</v>
      </c>
      <c r="O337" s="62">
        <f t="shared" si="4"/>
        <v>0</v>
      </c>
      <c r="P337" s="1"/>
      <c r="Q337" s="64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4">
        <v>330.0</v>
      </c>
      <c r="C338" s="56" t="s">
        <v>378</v>
      </c>
      <c r="D338" s="67">
        <v>50000.0</v>
      </c>
      <c r="E338" s="64">
        <v>2.0</v>
      </c>
      <c r="F338" s="59">
        <f t="shared" si="6"/>
        <v>100000</v>
      </c>
      <c r="G338" s="64">
        <v>2.0</v>
      </c>
      <c r="H338" s="59">
        <f t="shared" si="1"/>
        <v>100000</v>
      </c>
      <c r="I338" s="39"/>
      <c r="J338" s="39"/>
      <c r="K338" s="60">
        <f t="shared" si="2"/>
        <v>0</v>
      </c>
      <c r="L338" s="39"/>
      <c r="M338" s="59">
        <f t="shared" si="3"/>
        <v>0</v>
      </c>
      <c r="N338" s="69">
        <v>2.0</v>
      </c>
      <c r="O338" s="62">
        <f t="shared" si="4"/>
        <v>0</v>
      </c>
      <c r="P338" s="1"/>
      <c r="Q338" s="64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4">
        <v>331.0</v>
      </c>
      <c r="C339" s="56" t="s">
        <v>379</v>
      </c>
      <c r="D339" s="67">
        <v>148648.65</v>
      </c>
      <c r="E339" s="64">
        <v>3.0</v>
      </c>
      <c r="F339" s="59">
        <f t="shared" si="6"/>
        <v>445945.95</v>
      </c>
      <c r="G339" s="64">
        <v>3.0</v>
      </c>
      <c r="H339" s="59">
        <f t="shared" si="1"/>
        <v>445945.95</v>
      </c>
      <c r="I339" s="39"/>
      <c r="J339" s="39"/>
      <c r="K339" s="60">
        <f t="shared" si="2"/>
        <v>0</v>
      </c>
      <c r="L339" s="39"/>
      <c r="M339" s="59">
        <f t="shared" si="3"/>
        <v>0</v>
      </c>
      <c r="N339" s="69">
        <v>3.0</v>
      </c>
      <c r="O339" s="62">
        <f t="shared" si="4"/>
        <v>0</v>
      </c>
      <c r="P339" s="1"/>
      <c r="Q339" s="64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4">
        <v>332.0</v>
      </c>
      <c r="C340" s="56" t="s">
        <v>380</v>
      </c>
      <c r="D340" s="67">
        <v>130000.0</v>
      </c>
      <c r="E340" s="64">
        <v>1.0</v>
      </c>
      <c r="F340" s="59">
        <f t="shared" si="6"/>
        <v>130000</v>
      </c>
      <c r="G340" s="64">
        <v>1.0</v>
      </c>
      <c r="H340" s="59">
        <f t="shared" si="1"/>
        <v>130000</v>
      </c>
      <c r="I340" s="39"/>
      <c r="J340" s="39"/>
      <c r="K340" s="60">
        <f t="shared" si="2"/>
        <v>0</v>
      </c>
      <c r="L340" s="39"/>
      <c r="M340" s="59">
        <f t="shared" si="3"/>
        <v>0</v>
      </c>
      <c r="N340" s="69">
        <v>1.0</v>
      </c>
      <c r="O340" s="62">
        <f t="shared" si="4"/>
        <v>0</v>
      </c>
      <c r="P340" s="1"/>
      <c r="Q340" s="64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4">
        <v>333.0</v>
      </c>
      <c r="C341" s="56" t="s">
        <v>381</v>
      </c>
      <c r="D341" s="67">
        <v>84684.68</v>
      </c>
      <c r="E341" s="64">
        <v>3.3</v>
      </c>
      <c r="F341" s="59">
        <f t="shared" si="6"/>
        <v>279459.444</v>
      </c>
      <c r="G341" s="64">
        <v>3.3</v>
      </c>
      <c r="H341" s="59">
        <f t="shared" si="1"/>
        <v>279459.444</v>
      </c>
      <c r="I341" s="39"/>
      <c r="J341" s="39"/>
      <c r="K341" s="60">
        <f t="shared" si="2"/>
        <v>0</v>
      </c>
      <c r="L341" s="39"/>
      <c r="M341" s="59">
        <f t="shared" si="3"/>
        <v>0</v>
      </c>
      <c r="N341" s="69">
        <v>3.3</v>
      </c>
      <c r="O341" s="62">
        <f t="shared" si="4"/>
        <v>0</v>
      </c>
      <c r="P341" s="1"/>
      <c r="Q341" s="64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4">
        <v>334.0</v>
      </c>
      <c r="C342" s="56" t="s">
        <v>382</v>
      </c>
      <c r="D342" s="67">
        <v>99099.1</v>
      </c>
      <c r="E342" s="64">
        <v>1.5</v>
      </c>
      <c r="F342" s="59">
        <f t="shared" si="6"/>
        <v>148648.65</v>
      </c>
      <c r="G342" s="64">
        <v>1.5</v>
      </c>
      <c r="H342" s="59">
        <f t="shared" si="1"/>
        <v>148648.65</v>
      </c>
      <c r="I342" s="39"/>
      <c r="J342" s="39"/>
      <c r="K342" s="60">
        <f t="shared" si="2"/>
        <v>0</v>
      </c>
      <c r="L342" s="39"/>
      <c r="M342" s="59">
        <f t="shared" si="3"/>
        <v>0</v>
      </c>
      <c r="N342" s="69">
        <v>1.5</v>
      </c>
      <c r="O342" s="62">
        <f t="shared" si="4"/>
        <v>0</v>
      </c>
      <c r="P342" s="1"/>
      <c r="Q342" s="64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4">
        <v>335.0</v>
      </c>
      <c r="C343" s="56" t="s">
        <v>383</v>
      </c>
      <c r="D343" s="67">
        <v>99099.1</v>
      </c>
      <c r="E343" s="64">
        <v>1.0</v>
      </c>
      <c r="F343" s="59">
        <f t="shared" si="6"/>
        <v>99099.1</v>
      </c>
      <c r="G343" s="64">
        <v>1.0</v>
      </c>
      <c r="H343" s="59">
        <f t="shared" si="1"/>
        <v>99099.1</v>
      </c>
      <c r="I343" s="39"/>
      <c r="J343" s="39"/>
      <c r="K343" s="60">
        <f t="shared" si="2"/>
        <v>0</v>
      </c>
      <c r="L343" s="39"/>
      <c r="M343" s="59">
        <f t="shared" si="3"/>
        <v>0</v>
      </c>
      <c r="N343" s="69">
        <v>1.0</v>
      </c>
      <c r="O343" s="62">
        <f t="shared" si="4"/>
        <v>0</v>
      </c>
      <c r="P343" s="1"/>
      <c r="Q343" s="64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4">
        <v>336.0</v>
      </c>
      <c r="C344" s="56" t="s">
        <v>384</v>
      </c>
      <c r="D344" s="67">
        <v>83783.78</v>
      </c>
      <c r="E344" s="64">
        <v>1.0</v>
      </c>
      <c r="F344" s="59">
        <f t="shared" si="6"/>
        <v>83783.78</v>
      </c>
      <c r="G344" s="64">
        <v>1.0</v>
      </c>
      <c r="H344" s="59">
        <f t="shared" si="1"/>
        <v>83783.78</v>
      </c>
      <c r="I344" s="39"/>
      <c r="J344" s="39"/>
      <c r="K344" s="60">
        <f t="shared" si="2"/>
        <v>0</v>
      </c>
      <c r="L344" s="39"/>
      <c r="M344" s="59">
        <f t="shared" si="3"/>
        <v>0</v>
      </c>
      <c r="N344" s="69">
        <v>1.0</v>
      </c>
      <c r="O344" s="62">
        <f t="shared" si="4"/>
        <v>0</v>
      </c>
      <c r="P344" s="1"/>
      <c r="Q344" s="64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4">
        <v>337.0</v>
      </c>
      <c r="C345" s="56" t="s">
        <v>385</v>
      </c>
      <c r="D345" s="67">
        <v>83783.78</v>
      </c>
      <c r="E345" s="64">
        <v>1.0</v>
      </c>
      <c r="F345" s="59">
        <f t="shared" si="6"/>
        <v>83783.78</v>
      </c>
      <c r="G345" s="64">
        <v>1.0</v>
      </c>
      <c r="H345" s="59">
        <f t="shared" si="1"/>
        <v>83783.78</v>
      </c>
      <c r="I345" s="39"/>
      <c r="J345" s="39"/>
      <c r="K345" s="60">
        <f t="shared" si="2"/>
        <v>0</v>
      </c>
      <c r="L345" s="39"/>
      <c r="M345" s="59">
        <f t="shared" si="3"/>
        <v>0</v>
      </c>
      <c r="N345" s="69">
        <v>1.0</v>
      </c>
      <c r="O345" s="62">
        <f t="shared" si="4"/>
        <v>0</v>
      </c>
      <c r="P345" s="1"/>
      <c r="Q345" s="64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4">
        <v>338.0</v>
      </c>
      <c r="C346" s="56" t="s">
        <v>386</v>
      </c>
      <c r="D346" s="67">
        <v>83783.78</v>
      </c>
      <c r="E346" s="64">
        <v>0.74</v>
      </c>
      <c r="F346" s="59">
        <f t="shared" si="6"/>
        <v>61999.9972</v>
      </c>
      <c r="G346" s="64">
        <v>0.74</v>
      </c>
      <c r="H346" s="59">
        <f t="shared" si="1"/>
        <v>61999.9972</v>
      </c>
      <c r="I346" s="39"/>
      <c r="J346" s="39"/>
      <c r="K346" s="60">
        <f t="shared" si="2"/>
        <v>0</v>
      </c>
      <c r="L346" s="39"/>
      <c r="M346" s="59">
        <f t="shared" si="3"/>
        <v>0</v>
      </c>
      <c r="N346" s="69">
        <v>0.74</v>
      </c>
      <c r="O346" s="62">
        <f t="shared" si="4"/>
        <v>0</v>
      </c>
      <c r="P346" s="1"/>
      <c r="Q346" s="64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4">
        <v>339.0</v>
      </c>
      <c r="C347" s="56" t="s">
        <v>387</v>
      </c>
      <c r="D347" s="67">
        <v>83783.78</v>
      </c>
      <c r="E347" s="64">
        <v>5.0</v>
      </c>
      <c r="F347" s="59">
        <f t="shared" si="6"/>
        <v>418918.9</v>
      </c>
      <c r="G347" s="64">
        <v>5.0</v>
      </c>
      <c r="H347" s="59">
        <f t="shared" si="1"/>
        <v>418918.9</v>
      </c>
      <c r="I347" s="39"/>
      <c r="J347" s="39"/>
      <c r="K347" s="60">
        <f t="shared" si="2"/>
        <v>0</v>
      </c>
      <c r="L347" s="39"/>
      <c r="M347" s="59">
        <f t="shared" si="3"/>
        <v>0</v>
      </c>
      <c r="N347" s="69">
        <v>5.0</v>
      </c>
      <c r="O347" s="62">
        <f t="shared" si="4"/>
        <v>0</v>
      </c>
      <c r="P347" s="1"/>
      <c r="Q347" s="64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4">
        <v>340.0</v>
      </c>
      <c r="C348" s="56" t="s">
        <v>388</v>
      </c>
      <c r="D348" s="67">
        <v>83783.78</v>
      </c>
      <c r="E348" s="64">
        <v>2.0</v>
      </c>
      <c r="F348" s="59">
        <f t="shared" si="6"/>
        <v>167567.56</v>
      </c>
      <c r="G348" s="64">
        <v>2.0</v>
      </c>
      <c r="H348" s="59">
        <f t="shared" si="1"/>
        <v>167567.56</v>
      </c>
      <c r="I348" s="39"/>
      <c r="J348" s="39"/>
      <c r="K348" s="60">
        <f t="shared" si="2"/>
        <v>0</v>
      </c>
      <c r="L348" s="39"/>
      <c r="M348" s="59">
        <f t="shared" si="3"/>
        <v>0</v>
      </c>
      <c r="N348" s="69">
        <v>2.0</v>
      </c>
      <c r="O348" s="62">
        <f t="shared" si="4"/>
        <v>0</v>
      </c>
      <c r="P348" s="1"/>
      <c r="Q348" s="64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4">
        <v>341.0</v>
      </c>
      <c r="C349" s="56" t="s">
        <v>389</v>
      </c>
      <c r="D349" s="67">
        <v>83783.78</v>
      </c>
      <c r="E349" s="64">
        <v>1.0</v>
      </c>
      <c r="F349" s="59">
        <f t="shared" si="6"/>
        <v>83783.78</v>
      </c>
      <c r="G349" s="64">
        <v>1.0</v>
      </c>
      <c r="H349" s="59">
        <f t="shared" si="1"/>
        <v>83783.78</v>
      </c>
      <c r="I349" s="39"/>
      <c r="J349" s="39"/>
      <c r="K349" s="60">
        <f t="shared" si="2"/>
        <v>0</v>
      </c>
      <c r="L349" s="39"/>
      <c r="M349" s="59">
        <f t="shared" si="3"/>
        <v>0</v>
      </c>
      <c r="N349" s="69">
        <v>1.0</v>
      </c>
      <c r="O349" s="62">
        <f t="shared" si="4"/>
        <v>0</v>
      </c>
      <c r="P349" s="1"/>
      <c r="Q349" s="64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4">
        <v>342.0</v>
      </c>
      <c r="C350" s="56" t="s">
        <v>390</v>
      </c>
      <c r="D350" s="67">
        <v>83783.78</v>
      </c>
      <c r="E350" s="64">
        <v>2.5</v>
      </c>
      <c r="F350" s="59">
        <f t="shared" si="6"/>
        <v>209459.45</v>
      </c>
      <c r="G350" s="64">
        <v>2.5</v>
      </c>
      <c r="H350" s="59">
        <f t="shared" si="1"/>
        <v>209459.45</v>
      </c>
      <c r="I350" s="39"/>
      <c r="J350" s="39"/>
      <c r="K350" s="60">
        <f t="shared" si="2"/>
        <v>0</v>
      </c>
      <c r="L350" s="39"/>
      <c r="M350" s="59">
        <f t="shared" si="3"/>
        <v>0</v>
      </c>
      <c r="N350" s="69">
        <v>2.5</v>
      </c>
      <c r="O350" s="62">
        <f t="shared" si="4"/>
        <v>0</v>
      </c>
      <c r="P350" s="1"/>
      <c r="Q350" s="64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4">
        <v>343.0</v>
      </c>
      <c r="C351" s="56" t="s">
        <v>391</v>
      </c>
      <c r="D351" s="67">
        <v>83783.78</v>
      </c>
      <c r="E351" s="64">
        <v>1.0</v>
      </c>
      <c r="F351" s="59">
        <f t="shared" si="6"/>
        <v>83783.78</v>
      </c>
      <c r="G351" s="64">
        <v>1.0</v>
      </c>
      <c r="H351" s="59">
        <f t="shared" si="1"/>
        <v>83783.78</v>
      </c>
      <c r="I351" s="39"/>
      <c r="J351" s="39"/>
      <c r="K351" s="60">
        <f t="shared" si="2"/>
        <v>0</v>
      </c>
      <c r="L351" s="39"/>
      <c r="M351" s="59">
        <f t="shared" si="3"/>
        <v>0</v>
      </c>
      <c r="N351" s="69">
        <v>1.0</v>
      </c>
      <c r="O351" s="62">
        <f t="shared" si="4"/>
        <v>0</v>
      </c>
      <c r="P351" s="1"/>
      <c r="Q351" s="64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4">
        <v>344.0</v>
      </c>
      <c r="C352" s="56" t="s">
        <v>392</v>
      </c>
      <c r="D352" s="67">
        <v>83783.78</v>
      </c>
      <c r="E352" s="64">
        <v>1.0</v>
      </c>
      <c r="F352" s="59">
        <f t="shared" si="6"/>
        <v>83783.78</v>
      </c>
      <c r="G352" s="64">
        <v>1.0</v>
      </c>
      <c r="H352" s="59">
        <f t="shared" si="1"/>
        <v>83783.78</v>
      </c>
      <c r="I352" s="39"/>
      <c r="J352" s="39"/>
      <c r="K352" s="60">
        <f t="shared" si="2"/>
        <v>0</v>
      </c>
      <c r="L352" s="39"/>
      <c r="M352" s="59">
        <f t="shared" si="3"/>
        <v>0</v>
      </c>
      <c r="N352" s="69">
        <v>1.0</v>
      </c>
      <c r="O352" s="62">
        <f t="shared" si="4"/>
        <v>0</v>
      </c>
      <c r="P352" s="1"/>
      <c r="Q352" s="64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4">
        <v>345.0</v>
      </c>
      <c r="C353" s="56" t="s">
        <v>393</v>
      </c>
      <c r="D353" s="67">
        <v>83783.78</v>
      </c>
      <c r="E353" s="64">
        <v>1.0</v>
      </c>
      <c r="F353" s="59">
        <f t="shared" si="6"/>
        <v>83783.78</v>
      </c>
      <c r="G353" s="64">
        <v>1.0</v>
      </c>
      <c r="H353" s="59">
        <f t="shared" si="1"/>
        <v>83783.78</v>
      </c>
      <c r="I353" s="39"/>
      <c r="J353" s="39"/>
      <c r="K353" s="60">
        <f t="shared" si="2"/>
        <v>0</v>
      </c>
      <c r="L353" s="39"/>
      <c r="M353" s="59">
        <f t="shared" si="3"/>
        <v>0</v>
      </c>
      <c r="N353" s="69">
        <v>1.0</v>
      </c>
      <c r="O353" s="62">
        <f t="shared" si="4"/>
        <v>0</v>
      </c>
      <c r="P353" s="1"/>
      <c r="Q353" s="64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4">
        <v>346.0</v>
      </c>
      <c r="C354" s="56" t="s">
        <v>394</v>
      </c>
      <c r="D354" s="67">
        <v>148648.65</v>
      </c>
      <c r="E354" s="64">
        <v>1.8</v>
      </c>
      <c r="F354" s="59">
        <f t="shared" si="6"/>
        <v>267567.57</v>
      </c>
      <c r="G354" s="64">
        <v>1.8</v>
      </c>
      <c r="H354" s="59">
        <f t="shared" si="1"/>
        <v>267567.57</v>
      </c>
      <c r="I354" s="39"/>
      <c r="J354" s="39"/>
      <c r="K354" s="60">
        <f t="shared" si="2"/>
        <v>0</v>
      </c>
      <c r="L354" s="39"/>
      <c r="M354" s="59">
        <f t="shared" si="3"/>
        <v>0</v>
      </c>
      <c r="N354" s="69">
        <v>1.8</v>
      </c>
      <c r="O354" s="62">
        <f t="shared" si="4"/>
        <v>0</v>
      </c>
      <c r="P354" s="1"/>
      <c r="Q354" s="64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4">
        <v>347.0</v>
      </c>
      <c r="C355" s="56" t="s">
        <v>395</v>
      </c>
      <c r="D355" s="67">
        <v>83783.78</v>
      </c>
      <c r="E355" s="64">
        <v>1.55</v>
      </c>
      <c r="F355" s="59">
        <f t="shared" si="6"/>
        <v>129864.859</v>
      </c>
      <c r="G355" s="64">
        <v>1.55</v>
      </c>
      <c r="H355" s="59">
        <f t="shared" si="1"/>
        <v>129864.859</v>
      </c>
      <c r="I355" s="39"/>
      <c r="J355" s="39"/>
      <c r="K355" s="60">
        <f t="shared" si="2"/>
        <v>0</v>
      </c>
      <c r="L355" s="39"/>
      <c r="M355" s="59">
        <f t="shared" si="3"/>
        <v>0</v>
      </c>
      <c r="N355" s="69">
        <v>1.55</v>
      </c>
      <c r="O355" s="62">
        <f t="shared" si="4"/>
        <v>0</v>
      </c>
      <c r="P355" s="1"/>
      <c r="Q355" s="64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4">
        <v>348.0</v>
      </c>
      <c r="C356" s="56" t="s">
        <v>396</v>
      </c>
      <c r="D356" s="67">
        <v>83783.78</v>
      </c>
      <c r="E356" s="64">
        <v>0.9</v>
      </c>
      <c r="F356" s="59">
        <f t="shared" si="6"/>
        <v>75405.402</v>
      </c>
      <c r="G356" s="64">
        <v>0.9</v>
      </c>
      <c r="H356" s="59">
        <f t="shared" si="1"/>
        <v>75405.402</v>
      </c>
      <c r="I356" s="39"/>
      <c r="J356" s="39"/>
      <c r="K356" s="60">
        <f t="shared" si="2"/>
        <v>0</v>
      </c>
      <c r="L356" s="39"/>
      <c r="M356" s="59">
        <f t="shared" si="3"/>
        <v>0</v>
      </c>
      <c r="N356" s="69">
        <v>0.9</v>
      </c>
      <c r="O356" s="62">
        <f t="shared" si="4"/>
        <v>0</v>
      </c>
      <c r="P356" s="1"/>
      <c r="Q356" s="64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4">
        <v>349.0</v>
      </c>
      <c r="C357" s="56" t="s">
        <v>397</v>
      </c>
      <c r="D357" s="67">
        <v>148648.65</v>
      </c>
      <c r="E357" s="64">
        <v>2.75</v>
      </c>
      <c r="F357" s="59">
        <f t="shared" si="6"/>
        <v>408783.7875</v>
      </c>
      <c r="G357" s="64">
        <v>2.75</v>
      </c>
      <c r="H357" s="59">
        <f t="shared" si="1"/>
        <v>408783.7875</v>
      </c>
      <c r="I357" s="39"/>
      <c r="J357" s="39"/>
      <c r="K357" s="60">
        <f t="shared" si="2"/>
        <v>0</v>
      </c>
      <c r="L357" s="39"/>
      <c r="M357" s="59">
        <f t="shared" si="3"/>
        <v>0</v>
      </c>
      <c r="N357" s="69">
        <v>2.75</v>
      </c>
      <c r="O357" s="62">
        <f t="shared" si="4"/>
        <v>0</v>
      </c>
      <c r="P357" s="1"/>
      <c r="Q357" s="64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4">
        <v>350.0</v>
      </c>
      <c r="C358" s="56" t="s">
        <v>398</v>
      </c>
      <c r="D358" s="67">
        <v>148648.65</v>
      </c>
      <c r="E358" s="64">
        <v>0.55</v>
      </c>
      <c r="F358" s="59">
        <f t="shared" si="6"/>
        <v>81756.7575</v>
      </c>
      <c r="G358" s="64">
        <v>0.55</v>
      </c>
      <c r="H358" s="59">
        <f t="shared" si="1"/>
        <v>81756.7575</v>
      </c>
      <c r="I358" s="39"/>
      <c r="J358" s="39"/>
      <c r="K358" s="60">
        <f t="shared" si="2"/>
        <v>0</v>
      </c>
      <c r="L358" s="39"/>
      <c r="M358" s="59">
        <f t="shared" si="3"/>
        <v>0</v>
      </c>
      <c r="N358" s="69">
        <v>0.55</v>
      </c>
      <c r="O358" s="62">
        <f t="shared" si="4"/>
        <v>0</v>
      </c>
      <c r="P358" s="1"/>
      <c r="Q358" s="64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4">
        <v>351.0</v>
      </c>
      <c r="C359" s="56" t="s">
        <v>399</v>
      </c>
      <c r="D359" s="67">
        <v>148648.65</v>
      </c>
      <c r="E359" s="64">
        <v>0.65</v>
      </c>
      <c r="F359" s="59">
        <f t="shared" si="6"/>
        <v>96621.6225</v>
      </c>
      <c r="G359" s="64">
        <v>0.65</v>
      </c>
      <c r="H359" s="59">
        <f t="shared" si="1"/>
        <v>96621.6225</v>
      </c>
      <c r="I359" s="39"/>
      <c r="J359" s="39"/>
      <c r="K359" s="60">
        <f t="shared" si="2"/>
        <v>0</v>
      </c>
      <c r="L359" s="39"/>
      <c r="M359" s="59">
        <f t="shared" si="3"/>
        <v>0</v>
      </c>
      <c r="N359" s="69">
        <v>0.65</v>
      </c>
      <c r="O359" s="62">
        <f t="shared" si="4"/>
        <v>0</v>
      </c>
      <c r="P359" s="1"/>
      <c r="Q359" s="64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4">
        <v>352.0</v>
      </c>
      <c r="C360" s="56" t="s">
        <v>400</v>
      </c>
      <c r="D360" s="67">
        <v>60000.0</v>
      </c>
      <c r="E360" s="64">
        <v>5.0</v>
      </c>
      <c r="F360" s="59">
        <f t="shared" si="6"/>
        <v>300000</v>
      </c>
      <c r="G360" s="64">
        <v>5.0</v>
      </c>
      <c r="H360" s="59">
        <f t="shared" si="1"/>
        <v>300000</v>
      </c>
      <c r="I360" s="39"/>
      <c r="J360" s="39"/>
      <c r="K360" s="60">
        <f t="shared" si="2"/>
        <v>0</v>
      </c>
      <c r="L360" s="39"/>
      <c r="M360" s="59">
        <f t="shared" si="3"/>
        <v>0</v>
      </c>
      <c r="N360" s="69">
        <v>5.0</v>
      </c>
      <c r="O360" s="62">
        <f t="shared" si="4"/>
        <v>0</v>
      </c>
      <c r="P360" s="1"/>
      <c r="Q360" s="64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4">
        <v>353.0</v>
      </c>
      <c r="C361" s="56" t="s">
        <v>401</v>
      </c>
      <c r="D361" s="67">
        <v>37837.84</v>
      </c>
      <c r="E361" s="64">
        <v>1.0</v>
      </c>
      <c r="F361" s="59">
        <f t="shared" si="6"/>
        <v>37837.84</v>
      </c>
      <c r="G361" s="64">
        <v>1.0</v>
      </c>
      <c r="H361" s="59">
        <f t="shared" si="1"/>
        <v>37837.84</v>
      </c>
      <c r="I361" s="39"/>
      <c r="J361" s="39"/>
      <c r="K361" s="60">
        <f t="shared" si="2"/>
        <v>0</v>
      </c>
      <c r="L361" s="39"/>
      <c r="M361" s="59">
        <f t="shared" si="3"/>
        <v>0</v>
      </c>
      <c r="N361" s="69">
        <v>1.0</v>
      </c>
      <c r="O361" s="62">
        <f t="shared" si="4"/>
        <v>0</v>
      </c>
      <c r="P361" s="1"/>
      <c r="Q361" s="64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4">
        <v>354.0</v>
      </c>
      <c r="C362" s="56" t="s">
        <v>402</v>
      </c>
      <c r="D362" s="67">
        <v>87387.39</v>
      </c>
      <c r="E362" s="64">
        <v>1.0</v>
      </c>
      <c r="F362" s="59">
        <f t="shared" si="6"/>
        <v>87387.39</v>
      </c>
      <c r="G362" s="64">
        <v>1.0</v>
      </c>
      <c r="H362" s="59">
        <f t="shared" si="1"/>
        <v>87387.39</v>
      </c>
      <c r="I362" s="39"/>
      <c r="J362" s="39"/>
      <c r="K362" s="60">
        <f t="shared" si="2"/>
        <v>0</v>
      </c>
      <c r="L362" s="39"/>
      <c r="M362" s="59">
        <f t="shared" si="3"/>
        <v>0</v>
      </c>
      <c r="N362" s="69">
        <v>1.0</v>
      </c>
      <c r="O362" s="62">
        <f t="shared" si="4"/>
        <v>0</v>
      </c>
      <c r="P362" s="1"/>
      <c r="Q362" s="64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4">
        <v>355.0</v>
      </c>
      <c r="C363" s="56" t="s">
        <v>403</v>
      </c>
      <c r="D363" s="67">
        <v>104954.95</v>
      </c>
      <c r="E363" s="64">
        <v>1.6</v>
      </c>
      <c r="F363" s="59">
        <f t="shared" si="6"/>
        <v>167927.92</v>
      </c>
      <c r="G363" s="64">
        <v>1.6</v>
      </c>
      <c r="H363" s="59">
        <f t="shared" si="1"/>
        <v>167927.92</v>
      </c>
      <c r="I363" s="39"/>
      <c r="J363" s="39"/>
      <c r="K363" s="60">
        <f t="shared" si="2"/>
        <v>0</v>
      </c>
      <c r="L363" s="39"/>
      <c r="M363" s="59">
        <f t="shared" si="3"/>
        <v>0</v>
      </c>
      <c r="N363" s="69">
        <v>1.6</v>
      </c>
      <c r="O363" s="62">
        <f t="shared" si="4"/>
        <v>0</v>
      </c>
      <c r="P363" s="1"/>
      <c r="Q363" s="64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4">
        <v>356.0</v>
      </c>
      <c r="C364" s="56" t="s">
        <v>404</v>
      </c>
      <c r="D364" s="67">
        <v>87387.39</v>
      </c>
      <c r="E364" s="64">
        <v>0.4</v>
      </c>
      <c r="F364" s="59">
        <f t="shared" si="6"/>
        <v>34954.956</v>
      </c>
      <c r="G364" s="64">
        <v>0.4</v>
      </c>
      <c r="H364" s="59">
        <f t="shared" si="1"/>
        <v>34954.956</v>
      </c>
      <c r="I364" s="39"/>
      <c r="J364" s="39"/>
      <c r="K364" s="60">
        <f t="shared" si="2"/>
        <v>0</v>
      </c>
      <c r="L364" s="39"/>
      <c r="M364" s="59">
        <f t="shared" si="3"/>
        <v>0</v>
      </c>
      <c r="N364" s="69">
        <v>0.4</v>
      </c>
      <c r="O364" s="62">
        <f t="shared" si="4"/>
        <v>0</v>
      </c>
      <c r="P364" s="1"/>
      <c r="Q364" s="64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4">
        <v>357.0</v>
      </c>
      <c r="C365" s="56" t="s">
        <v>405</v>
      </c>
      <c r="D365" s="67">
        <v>87387.39</v>
      </c>
      <c r="E365" s="64">
        <v>2.0</v>
      </c>
      <c r="F365" s="59">
        <f t="shared" si="6"/>
        <v>174774.78</v>
      </c>
      <c r="G365" s="64">
        <v>2.0</v>
      </c>
      <c r="H365" s="59">
        <f t="shared" si="1"/>
        <v>174774.78</v>
      </c>
      <c r="I365" s="39"/>
      <c r="J365" s="39"/>
      <c r="K365" s="60">
        <f t="shared" si="2"/>
        <v>0</v>
      </c>
      <c r="L365" s="39"/>
      <c r="M365" s="59">
        <f t="shared" si="3"/>
        <v>0</v>
      </c>
      <c r="N365" s="69">
        <v>2.0</v>
      </c>
      <c r="O365" s="62">
        <f t="shared" si="4"/>
        <v>0</v>
      </c>
      <c r="P365" s="1"/>
      <c r="Q365" s="64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4">
        <v>358.0</v>
      </c>
      <c r="C366" s="56" t="s">
        <v>406</v>
      </c>
      <c r="D366" s="67">
        <v>82882.88</v>
      </c>
      <c r="E366" s="64">
        <v>6.0</v>
      </c>
      <c r="F366" s="59">
        <f t="shared" si="6"/>
        <v>497297.28</v>
      </c>
      <c r="G366" s="64">
        <v>6.0</v>
      </c>
      <c r="H366" s="59">
        <f t="shared" si="1"/>
        <v>497297.28</v>
      </c>
      <c r="I366" s="39"/>
      <c r="J366" s="39"/>
      <c r="K366" s="60">
        <f t="shared" si="2"/>
        <v>0</v>
      </c>
      <c r="L366" s="39"/>
      <c r="M366" s="59">
        <f t="shared" si="3"/>
        <v>0</v>
      </c>
      <c r="N366" s="69">
        <v>6.0</v>
      </c>
      <c r="O366" s="62">
        <f t="shared" si="4"/>
        <v>0</v>
      </c>
      <c r="P366" s="1"/>
      <c r="Q366" s="64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4">
        <v>359.0</v>
      </c>
      <c r="C367" s="56" t="s">
        <v>407</v>
      </c>
      <c r="D367" s="67">
        <v>87387.39</v>
      </c>
      <c r="E367" s="64">
        <v>1.0</v>
      </c>
      <c r="F367" s="59">
        <f t="shared" si="6"/>
        <v>87387.39</v>
      </c>
      <c r="G367" s="64">
        <v>1.0</v>
      </c>
      <c r="H367" s="59">
        <f t="shared" si="1"/>
        <v>87387.39</v>
      </c>
      <c r="I367" s="39"/>
      <c r="J367" s="39"/>
      <c r="K367" s="60">
        <f t="shared" si="2"/>
        <v>0</v>
      </c>
      <c r="L367" s="39"/>
      <c r="M367" s="59">
        <f t="shared" si="3"/>
        <v>0</v>
      </c>
      <c r="N367" s="69">
        <v>1.0</v>
      </c>
      <c r="O367" s="62">
        <f t="shared" si="4"/>
        <v>0</v>
      </c>
      <c r="P367" s="1"/>
      <c r="Q367" s="64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4">
        <v>360.0</v>
      </c>
      <c r="C368" s="56" t="s">
        <v>408</v>
      </c>
      <c r="D368" s="67">
        <v>87387.39</v>
      </c>
      <c r="E368" s="64">
        <v>0.5</v>
      </c>
      <c r="F368" s="59">
        <f t="shared" si="6"/>
        <v>43693.695</v>
      </c>
      <c r="G368" s="64">
        <v>0.5</v>
      </c>
      <c r="H368" s="59">
        <f t="shared" si="1"/>
        <v>43693.695</v>
      </c>
      <c r="I368" s="39"/>
      <c r="J368" s="39"/>
      <c r="K368" s="60">
        <f t="shared" si="2"/>
        <v>0</v>
      </c>
      <c r="L368" s="39"/>
      <c r="M368" s="59">
        <f t="shared" si="3"/>
        <v>0</v>
      </c>
      <c r="N368" s="69">
        <v>0.5</v>
      </c>
      <c r="O368" s="62">
        <f t="shared" si="4"/>
        <v>0</v>
      </c>
      <c r="P368" s="1"/>
      <c r="Q368" s="64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4">
        <v>361.0</v>
      </c>
      <c r="C369" s="56" t="s">
        <v>409</v>
      </c>
      <c r="D369" s="67">
        <v>98648.65</v>
      </c>
      <c r="E369" s="64">
        <v>6.0</v>
      </c>
      <c r="F369" s="59">
        <f t="shared" si="6"/>
        <v>591891.9</v>
      </c>
      <c r="G369" s="64">
        <v>6.0</v>
      </c>
      <c r="H369" s="59">
        <f t="shared" si="1"/>
        <v>591891.9</v>
      </c>
      <c r="I369" s="39"/>
      <c r="J369" s="39"/>
      <c r="K369" s="60">
        <f t="shared" si="2"/>
        <v>0</v>
      </c>
      <c r="L369" s="39"/>
      <c r="M369" s="59">
        <f t="shared" si="3"/>
        <v>0</v>
      </c>
      <c r="N369" s="69">
        <v>6.0</v>
      </c>
      <c r="O369" s="62">
        <f t="shared" si="4"/>
        <v>0</v>
      </c>
      <c r="P369" s="1"/>
      <c r="Q369" s="64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4">
        <v>362.0</v>
      </c>
      <c r="C370" s="56" t="s">
        <v>410</v>
      </c>
      <c r="D370" s="67">
        <v>98648.65</v>
      </c>
      <c r="E370" s="64">
        <v>1.0</v>
      </c>
      <c r="F370" s="59">
        <f t="shared" si="6"/>
        <v>98648.65</v>
      </c>
      <c r="G370" s="64">
        <v>1.0</v>
      </c>
      <c r="H370" s="59">
        <f t="shared" si="1"/>
        <v>98648.65</v>
      </c>
      <c r="I370" s="39"/>
      <c r="J370" s="39"/>
      <c r="K370" s="60">
        <f t="shared" si="2"/>
        <v>0</v>
      </c>
      <c r="L370" s="39"/>
      <c r="M370" s="59">
        <f t="shared" si="3"/>
        <v>0</v>
      </c>
      <c r="N370" s="69">
        <v>1.0</v>
      </c>
      <c r="O370" s="62">
        <f t="shared" si="4"/>
        <v>0</v>
      </c>
      <c r="P370" s="1"/>
      <c r="Q370" s="64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4">
        <v>363.0</v>
      </c>
      <c r="C371" s="56" t="s">
        <v>411</v>
      </c>
      <c r="D371" s="67">
        <v>95000.0</v>
      </c>
      <c r="E371" s="64">
        <v>0.0</v>
      </c>
      <c r="F371" s="59">
        <f t="shared" si="6"/>
        <v>0</v>
      </c>
      <c r="G371" s="64">
        <v>0.0</v>
      </c>
      <c r="H371" s="59">
        <f t="shared" si="1"/>
        <v>0</v>
      </c>
      <c r="I371" s="39"/>
      <c r="J371" s="39"/>
      <c r="K371" s="60">
        <f t="shared" si="2"/>
        <v>0</v>
      </c>
      <c r="L371" s="39"/>
      <c r="M371" s="59">
        <f t="shared" si="3"/>
        <v>0</v>
      </c>
      <c r="N371" s="69">
        <v>0.0</v>
      </c>
      <c r="O371" s="62">
        <f t="shared" si="4"/>
        <v>0</v>
      </c>
      <c r="P371" s="1"/>
      <c r="Q371" s="64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4">
        <v>364.0</v>
      </c>
      <c r="C372" s="56" t="s">
        <v>412</v>
      </c>
      <c r="D372" s="67">
        <v>55855.86</v>
      </c>
      <c r="E372" s="64">
        <v>1.0</v>
      </c>
      <c r="F372" s="59">
        <f t="shared" si="6"/>
        <v>55855.86</v>
      </c>
      <c r="G372" s="64">
        <v>1.0</v>
      </c>
      <c r="H372" s="59">
        <f t="shared" si="1"/>
        <v>55855.86</v>
      </c>
      <c r="I372" s="39"/>
      <c r="J372" s="39"/>
      <c r="K372" s="60">
        <f t="shared" si="2"/>
        <v>0</v>
      </c>
      <c r="L372" s="39"/>
      <c r="M372" s="59">
        <f t="shared" si="3"/>
        <v>0</v>
      </c>
      <c r="N372" s="69">
        <v>1.0</v>
      </c>
      <c r="O372" s="62">
        <f t="shared" si="4"/>
        <v>0</v>
      </c>
      <c r="P372" s="1"/>
      <c r="Q372" s="64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4">
        <v>365.0</v>
      </c>
      <c r="C373" s="56" t="s">
        <v>413</v>
      </c>
      <c r="D373" s="67">
        <v>55855.86</v>
      </c>
      <c r="E373" s="64">
        <v>2.0</v>
      </c>
      <c r="F373" s="59">
        <f t="shared" si="6"/>
        <v>111711.72</v>
      </c>
      <c r="G373" s="64">
        <v>2.0</v>
      </c>
      <c r="H373" s="59">
        <f t="shared" si="1"/>
        <v>111711.72</v>
      </c>
      <c r="I373" s="39"/>
      <c r="J373" s="39"/>
      <c r="K373" s="60">
        <f t="shared" si="2"/>
        <v>0</v>
      </c>
      <c r="L373" s="39"/>
      <c r="M373" s="59">
        <f t="shared" si="3"/>
        <v>0</v>
      </c>
      <c r="N373" s="69">
        <v>2.0</v>
      </c>
      <c r="O373" s="62">
        <f t="shared" si="4"/>
        <v>0</v>
      </c>
      <c r="P373" s="1"/>
      <c r="Q373" s="64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4">
        <v>366.0</v>
      </c>
      <c r="C374" s="56" t="s">
        <v>414</v>
      </c>
      <c r="D374" s="67">
        <v>57657.66</v>
      </c>
      <c r="E374" s="64">
        <v>7.0</v>
      </c>
      <c r="F374" s="59">
        <f t="shared" si="6"/>
        <v>403603.62</v>
      </c>
      <c r="G374" s="64">
        <v>7.0</v>
      </c>
      <c r="H374" s="59">
        <f t="shared" si="1"/>
        <v>403603.62</v>
      </c>
      <c r="I374" s="39"/>
      <c r="J374" s="39"/>
      <c r="K374" s="60">
        <f t="shared" si="2"/>
        <v>0</v>
      </c>
      <c r="L374" s="39"/>
      <c r="M374" s="59">
        <f t="shared" si="3"/>
        <v>0</v>
      </c>
      <c r="N374" s="69">
        <v>7.0</v>
      </c>
      <c r="O374" s="62">
        <f t="shared" si="4"/>
        <v>0</v>
      </c>
      <c r="P374" s="1"/>
      <c r="Q374" s="64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4">
        <v>367.0</v>
      </c>
      <c r="C375" s="56" t="s">
        <v>415</v>
      </c>
      <c r="D375" s="67">
        <v>57657.66</v>
      </c>
      <c r="E375" s="64">
        <v>2.0</v>
      </c>
      <c r="F375" s="59">
        <f t="shared" si="6"/>
        <v>115315.32</v>
      </c>
      <c r="G375" s="64">
        <v>2.0</v>
      </c>
      <c r="H375" s="59">
        <f t="shared" si="1"/>
        <v>115315.32</v>
      </c>
      <c r="I375" s="39"/>
      <c r="J375" s="39"/>
      <c r="K375" s="60">
        <f t="shared" si="2"/>
        <v>0</v>
      </c>
      <c r="L375" s="39"/>
      <c r="M375" s="59">
        <f t="shared" si="3"/>
        <v>0</v>
      </c>
      <c r="N375" s="69">
        <v>2.0</v>
      </c>
      <c r="O375" s="62">
        <f t="shared" si="4"/>
        <v>0</v>
      </c>
      <c r="P375" s="1"/>
      <c r="Q375" s="64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4">
        <v>368.0</v>
      </c>
      <c r="C376" s="56" t="s">
        <v>416</v>
      </c>
      <c r="D376" s="67">
        <v>57657.66</v>
      </c>
      <c r="E376" s="64">
        <v>2.0</v>
      </c>
      <c r="F376" s="59">
        <f t="shared" si="6"/>
        <v>115315.32</v>
      </c>
      <c r="G376" s="64">
        <v>2.0</v>
      </c>
      <c r="H376" s="59">
        <f t="shared" si="1"/>
        <v>115315.32</v>
      </c>
      <c r="I376" s="39"/>
      <c r="J376" s="39"/>
      <c r="K376" s="60">
        <f t="shared" si="2"/>
        <v>0</v>
      </c>
      <c r="L376" s="39"/>
      <c r="M376" s="59">
        <f t="shared" si="3"/>
        <v>0</v>
      </c>
      <c r="N376" s="69">
        <v>2.0</v>
      </c>
      <c r="O376" s="62">
        <f t="shared" si="4"/>
        <v>0</v>
      </c>
      <c r="P376" s="1"/>
      <c r="Q376" s="64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4">
        <v>369.0</v>
      </c>
      <c r="C377" s="56" t="s">
        <v>417</v>
      </c>
      <c r="D377" s="67">
        <v>50000.0</v>
      </c>
      <c r="E377" s="64">
        <v>1.0</v>
      </c>
      <c r="F377" s="59">
        <f t="shared" si="6"/>
        <v>50000</v>
      </c>
      <c r="G377" s="64">
        <v>1.0</v>
      </c>
      <c r="H377" s="59">
        <f t="shared" si="1"/>
        <v>50000</v>
      </c>
      <c r="I377" s="39"/>
      <c r="J377" s="39"/>
      <c r="K377" s="60">
        <f t="shared" si="2"/>
        <v>0</v>
      </c>
      <c r="L377" s="39"/>
      <c r="M377" s="59">
        <f t="shared" si="3"/>
        <v>0</v>
      </c>
      <c r="N377" s="69">
        <v>1.0</v>
      </c>
      <c r="O377" s="62">
        <f t="shared" si="4"/>
        <v>0</v>
      </c>
      <c r="P377" s="1"/>
      <c r="Q377" s="64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4">
        <v>370.0</v>
      </c>
      <c r="C378" s="56" t="s">
        <v>418</v>
      </c>
      <c r="D378" s="67">
        <v>48648.65</v>
      </c>
      <c r="E378" s="64">
        <v>1.0</v>
      </c>
      <c r="F378" s="59">
        <f t="shared" si="6"/>
        <v>48648.65</v>
      </c>
      <c r="G378" s="64">
        <v>1.0</v>
      </c>
      <c r="H378" s="59">
        <f t="shared" si="1"/>
        <v>48648.65</v>
      </c>
      <c r="I378" s="39"/>
      <c r="J378" s="39"/>
      <c r="K378" s="60">
        <f t="shared" si="2"/>
        <v>0</v>
      </c>
      <c r="L378" s="39"/>
      <c r="M378" s="59">
        <f t="shared" si="3"/>
        <v>0</v>
      </c>
      <c r="N378" s="69">
        <v>1.0</v>
      </c>
      <c r="O378" s="62">
        <f t="shared" si="4"/>
        <v>0</v>
      </c>
      <c r="P378" s="1"/>
      <c r="Q378" s="64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4">
        <v>371.0</v>
      </c>
      <c r="C379" s="56" t="s">
        <v>419</v>
      </c>
      <c r="D379" s="67">
        <v>36036.04</v>
      </c>
      <c r="E379" s="64">
        <v>1.0</v>
      </c>
      <c r="F379" s="59">
        <f t="shared" si="6"/>
        <v>36036.04</v>
      </c>
      <c r="G379" s="64">
        <v>1.0</v>
      </c>
      <c r="H379" s="59">
        <f t="shared" si="1"/>
        <v>36036.04</v>
      </c>
      <c r="I379" s="39"/>
      <c r="J379" s="39"/>
      <c r="K379" s="60">
        <f t="shared" si="2"/>
        <v>0</v>
      </c>
      <c r="L379" s="39"/>
      <c r="M379" s="59">
        <f t="shared" si="3"/>
        <v>0</v>
      </c>
      <c r="N379" s="69">
        <v>1.0</v>
      </c>
      <c r="O379" s="62">
        <f t="shared" si="4"/>
        <v>0</v>
      </c>
      <c r="P379" s="1"/>
      <c r="Q379" s="64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4">
        <v>372.0</v>
      </c>
      <c r="C380" s="56" t="s">
        <v>420</v>
      </c>
      <c r="D380" s="67">
        <v>87387.39</v>
      </c>
      <c r="E380" s="64">
        <v>1.0</v>
      </c>
      <c r="F380" s="59">
        <f t="shared" si="6"/>
        <v>87387.39</v>
      </c>
      <c r="G380" s="64">
        <v>1.0</v>
      </c>
      <c r="H380" s="59">
        <f t="shared" si="1"/>
        <v>87387.39</v>
      </c>
      <c r="I380" s="39"/>
      <c r="J380" s="39"/>
      <c r="K380" s="60">
        <f t="shared" si="2"/>
        <v>0</v>
      </c>
      <c r="L380" s="39"/>
      <c r="M380" s="59">
        <f t="shared" si="3"/>
        <v>0</v>
      </c>
      <c r="N380" s="69">
        <v>1.0</v>
      </c>
      <c r="O380" s="62">
        <f t="shared" si="4"/>
        <v>0</v>
      </c>
      <c r="P380" s="1"/>
      <c r="Q380" s="64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4">
        <v>373.0</v>
      </c>
      <c r="C381" s="56" t="s">
        <v>421</v>
      </c>
      <c r="D381" s="67">
        <v>109009.01</v>
      </c>
      <c r="E381" s="64">
        <v>0.5</v>
      </c>
      <c r="F381" s="59">
        <f t="shared" si="6"/>
        <v>54504.505</v>
      </c>
      <c r="G381" s="64">
        <v>0.5</v>
      </c>
      <c r="H381" s="59">
        <f t="shared" si="1"/>
        <v>54504.505</v>
      </c>
      <c r="I381" s="39"/>
      <c r="J381" s="39"/>
      <c r="K381" s="60">
        <f t="shared" si="2"/>
        <v>0</v>
      </c>
      <c r="L381" s="39"/>
      <c r="M381" s="59">
        <f t="shared" si="3"/>
        <v>0</v>
      </c>
      <c r="N381" s="69">
        <v>0.5</v>
      </c>
      <c r="O381" s="62">
        <f t="shared" si="4"/>
        <v>0</v>
      </c>
      <c r="P381" s="1"/>
      <c r="Q381" s="64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4">
        <v>374.0</v>
      </c>
      <c r="C382" s="56" t="s">
        <v>422</v>
      </c>
      <c r="D382" s="67">
        <v>91377.48</v>
      </c>
      <c r="E382" s="64">
        <v>1.0</v>
      </c>
      <c r="F382" s="59">
        <f t="shared" si="6"/>
        <v>91377.48</v>
      </c>
      <c r="G382" s="64">
        <v>1.0</v>
      </c>
      <c r="H382" s="59">
        <f t="shared" si="1"/>
        <v>91377.48</v>
      </c>
      <c r="I382" s="39"/>
      <c r="J382" s="39"/>
      <c r="K382" s="60">
        <f t="shared" si="2"/>
        <v>0</v>
      </c>
      <c r="L382" s="39"/>
      <c r="M382" s="59">
        <f t="shared" si="3"/>
        <v>0</v>
      </c>
      <c r="N382" s="69">
        <v>1.0</v>
      </c>
      <c r="O382" s="62">
        <f t="shared" si="4"/>
        <v>0</v>
      </c>
      <c r="P382" s="1"/>
      <c r="Q382" s="64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4">
        <v>375.0</v>
      </c>
      <c r="C383" s="56" t="s">
        <v>423</v>
      </c>
      <c r="D383" s="67">
        <v>109009.01</v>
      </c>
      <c r="E383" s="64">
        <v>2.0</v>
      </c>
      <c r="F383" s="59">
        <f t="shared" si="6"/>
        <v>218018.02</v>
      </c>
      <c r="G383" s="64">
        <v>2.0</v>
      </c>
      <c r="H383" s="59">
        <f t="shared" si="1"/>
        <v>218018.02</v>
      </c>
      <c r="I383" s="39"/>
      <c r="J383" s="39"/>
      <c r="K383" s="60">
        <f t="shared" si="2"/>
        <v>0</v>
      </c>
      <c r="L383" s="39"/>
      <c r="M383" s="59">
        <f t="shared" si="3"/>
        <v>0</v>
      </c>
      <c r="N383" s="69">
        <v>2.0</v>
      </c>
      <c r="O383" s="62">
        <f t="shared" si="4"/>
        <v>0</v>
      </c>
      <c r="P383" s="1"/>
      <c r="Q383" s="64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4">
        <v>376.0</v>
      </c>
      <c r="C384" s="56" t="s">
        <v>424</v>
      </c>
      <c r="D384" s="67">
        <v>6500.0</v>
      </c>
      <c r="E384" s="64">
        <v>50.0</v>
      </c>
      <c r="F384" s="59">
        <f t="shared" si="6"/>
        <v>325000</v>
      </c>
      <c r="G384" s="64">
        <v>50.0</v>
      </c>
      <c r="H384" s="59">
        <f t="shared" si="1"/>
        <v>325000</v>
      </c>
      <c r="I384" s="39"/>
      <c r="J384" s="39"/>
      <c r="K384" s="60">
        <f t="shared" si="2"/>
        <v>0</v>
      </c>
      <c r="L384" s="39"/>
      <c r="M384" s="59">
        <f t="shared" si="3"/>
        <v>0</v>
      </c>
      <c r="N384" s="69">
        <v>50.0</v>
      </c>
      <c r="O384" s="62">
        <f t="shared" si="4"/>
        <v>0</v>
      </c>
      <c r="P384" s="1"/>
      <c r="Q384" s="64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4">
        <v>377.0</v>
      </c>
      <c r="C385" s="56" t="s">
        <v>425</v>
      </c>
      <c r="D385" s="67">
        <v>6500.0</v>
      </c>
      <c r="E385" s="64">
        <v>100.0</v>
      </c>
      <c r="F385" s="59">
        <f t="shared" si="6"/>
        <v>650000</v>
      </c>
      <c r="G385" s="64">
        <v>100.0</v>
      </c>
      <c r="H385" s="59">
        <f t="shared" si="1"/>
        <v>650000</v>
      </c>
      <c r="I385" s="39"/>
      <c r="J385" s="39"/>
      <c r="K385" s="60">
        <f t="shared" si="2"/>
        <v>0</v>
      </c>
      <c r="L385" s="39"/>
      <c r="M385" s="59">
        <f t="shared" si="3"/>
        <v>0</v>
      </c>
      <c r="N385" s="69">
        <v>100.0</v>
      </c>
      <c r="O385" s="62">
        <f t="shared" si="4"/>
        <v>0</v>
      </c>
      <c r="P385" s="1"/>
      <c r="Q385" s="64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4">
        <v>378.0</v>
      </c>
      <c r="C386" s="56" t="s">
        <v>426</v>
      </c>
      <c r="D386" s="67">
        <v>148648.65</v>
      </c>
      <c r="E386" s="64">
        <v>0.9</v>
      </c>
      <c r="F386" s="59">
        <f t="shared" si="6"/>
        <v>133783.785</v>
      </c>
      <c r="G386" s="64">
        <v>0.9</v>
      </c>
      <c r="H386" s="59">
        <f t="shared" si="1"/>
        <v>133783.785</v>
      </c>
      <c r="I386" s="39"/>
      <c r="J386" s="39"/>
      <c r="K386" s="60">
        <f t="shared" si="2"/>
        <v>0</v>
      </c>
      <c r="L386" s="39"/>
      <c r="M386" s="59">
        <f t="shared" si="3"/>
        <v>0</v>
      </c>
      <c r="N386" s="69">
        <v>0.9</v>
      </c>
      <c r="O386" s="62">
        <f t="shared" si="4"/>
        <v>0</v>
      </c>
      <c r="P386" s="1"/>
      <c r="Q386" s="64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4">
        <v>379.0</v>
      </c>
      <c r="C387" s="56" t="s">
        <v>427</v>
      </c>
      <c r="D387" s="67">
        <v>153153.15</v>
      </c>
      <c r="E387" s="64">
        <v>0.15</v>
      </c>
      <c r="F387" s="59">
        <f t="shared" si="6"/>
        <v>22972.9725</v>
      </c>
      <c r="G387" s="64">
        <v>0.15</v>
      </c>
      <c r="H387" s="59">
        <f t="shared" si="1"/>
        <v>22972.9725</v>
      </c>
      <c r="I387" s="39"/>
      <c r="J387" s="39"/>
      <c r="K387" s="60">
        <f t="shared" si="2"/>
        <v>0</v>
      </c>
      <c r="L387" s="39"/>
      <c r="M387" s="59">
        <f t="shared" si="3"/>
        <v>0</v>
      </c>
      <c r="N387" s="69">
        <v>0.15000000000000036</v>
      </c>
      <c r="O387" s="62">
        <f t="shared" si="4"/>
        <v>0</v>
      </c>
      <c r="P387" s="1"/>
      <c r="Q387" s="64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4">
        <v>380.0</v>
      </c>
      <c r="C388" s="56" t="s">
        <v>428</v>
      </c>
      <c r="D388" s="67">
        <v>107207.21</v>
      </c>
      <c r="E388" s="64">
        <v>0.0</v>
      </c>
      <c r="F388" s="59">
        <f t="shared" si="6"/>
        <v>0</v>
      </c>
      <c r="G388" s="64">
        <v>0.0</v>
      </c>
      <c r="H388" s="59">
        <f t="shared" si="1"/>
        <v>0</v>
      </c>
      <c r="I388" s="39"/>
      <c r="J388" s="39"/>
      <c r="K388" s="60">
        <f t="shared" si="2"/>
        <v>0</v>
      </c>
      <c r="L388" s="39"/>
      <c r="M388" s="59">
        <f t="shared" si="3"/>
        <v>0</v>
      </c>
      <c r="N388" s="69">
        <v>0.0</v>
      </c>
      <c r="O388" s="62">
        <f t="shared" si="4"/>
        <v>0</v>
      </c>
      <c r="P388" s="1"/>
      <c r="Q388" s="64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4">
        <v>381.0</v>
      </c>
      <c r="C389" s="56" t="s">
        <v>429</v>
      </c>
      <c r="D389" s="67">
        <v>84684.68</v>
      </c>
      <c r="E389" s="64">
        <v>3.0</v>
      </c>
      <c r="F389" s="59">
        <f t="shared" si="6"/>
        <v>254054.04</v>
      </c>
      <c r="G389" s="64">
        <v>3.0</v>
      </c>
      <c r="H389" s="59">
        <f t="shared" si="1"/>
        <v>254054.04</v>
      </c>
      <c r="I389" s="39"/>
      <c r="J389" s="39"/>
      <c r="K389" s="60">
        <f t="shared" si="2"/>
        <v>0</v>
      </c>
      <c r="L389" s="39"/>
      <c r="M389" s="59">
        <f t="shared" si="3"/>
        <v>0</v>
      </c>
      <c r="N389" s="69">
        <v>3.0</v>
      </c>
      <c r="O389" s="62">
        <f t="shared" si="4"/>
        <v>0</v>
      </c>
      <c r="P389" s="1"/>
      <c r="Q389" s="64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4">
        <v>382.0</v>
      </c>
      <c r="C390" s="56" t="s">
        <v>430</v>
      </c>
      <c r="D390" s="70"/>
      <c r="E390" s="64">
        <v>0.65</v>
      </c>
      <c r="F390" s="59">
        <f t="shared" si="6"/>
        <v>0</v>
      </c>
      <c r="G390" s="64">
        <v>0.65</v>
      </c>
      <c r="H390" s="59">
        <f t="shared" si="1"/>
        <v>0</v>
      </c>
      <c r="I390" s="39"/>
      <c r="J390" s="39"/>
      <c r="K390" s="60">
        <f t="shared" si="2"/>
        <v>0</v>
      </c>
      <c r="L390" s="39"/>
      <c r="M390" s="59">
        <f t="shared" si="3"/>
        <v>0</v>
      </c>
      <c r="N390" s="69">
        <v>0.65</v>
      </c>
      <c r="O390" s="62">
        <f t="shared" si="4"/>
        <v>0</v>
      </c>
      <c r="P390" s="1"/>
      <c r="Q390" s="64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4">
        <v>383.0</v>
      </c>
      <c r="C391" s="56" t="s">
        <v>431</v>
      </c>
      <c r="D391" s="70"/>
      <c r="E391" s="64">
        <v>0.3</v>
      </c>
      <c r="F391" s="59">
        <f t="shared" si="6"/>
        <v>0</v>
      </c>
      <c r="G391" s="64">
        <v>0.3</v>
      </c>
      <c r="H391" s="59">
        <f t="shared" si="1"/>
        <v>0</v>
      </c>
      <c r="I391" s="39"/>
      <c r="J391" s="39"/>
      <c r="K391" s="60">
        <f t="shared" si="2"/>
        <v>0</v>
      </c>
      <c r="L391" s="39"/>
      <c r="M391" s="59">
        <f t="shared" si="3"/>
        <v>0</v>
      </c>
      <c r="N391" s="69">
        <v>0.29999999999999993</v>
      </c>
      <c r="O391" s="62">
        <f t="shared" si="4"/>
        <v>0</v>
      </c>
      <c r="P391" s="1"/>
      <c r="Q391" s="64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4">
        <v>384.0</v>
      </c>
      <c r="C392" s="56" t="s">
        <v>432</v>
      </c>
      <c r="D392" s="67">
        <v>83783.78</v>
      </c>
      <c r="E392" s="64">
        <v>0.5</v>
      </c>
      <c r="F392" s="59">
        <f t="shared" si="6"/>
        <v>41891.89</v>
      </c>
      <c r="G392" s="64">
        <v>0.5</v>
      </c>
      <c r="H392" s="59">
        <f t="shared" si="1"/>
        <v>41891.89</v>
      </c>
      <c r="I392" s="39"/>
      <c r="J392" s="39"/>
      <c r="K392" s="60">
        <f t="shared" si="2"/>
        <v>0</v>
      </c>
      <c r="L392" s="39"/>
      <c r="M392" s="59">
        <f t="shared" si="3"/>
        <v>0</v>
      </c>
      <c r="N392" s="69">
        <v>0.5</v>
      </c>
      <c r="O392" s="62">
        <f t="shared" si="4"/>
        <v>0</v>
      </c>
      <c r="P392" s="1"/>
      <c r="Q392" s="64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4">
        <v>385.0</v>
      </c>
      <c r="C393" s="56" t="s">
        <v>433</v>
      </c>
      <c r="D393" s="70"/>
      <c r="E393" s="64">
        <v>0.0</v>
      </c>
      <c r="F393" s="59">
        <f t="shared" si="6"/>
        <v>0</v>
      </c>
      <c r="G393" s="64">
        <v>0.0</v>
      </c>
      <c r="H393" s="59">
        <f t="shared" si="1"/>
        <v>0</v>
      </c>
      <c r="I393" s="39"/>
      <c r="J393" s="39"/>
      <c r="K393" s="60">
        <f t="shared" si="2"/>
        <v>0</v>
      </c>
      <c r="L393" s="39"/>
      <c r="M393" s="59">
        <f t="shared" si="3"/>
        <v>0</v>
      </c>
      <c r="N393" s="69">
        <v>0.0</v>
      </c>
      <c r="O393" s="62">
        <f t="shared" si="4"/>
        <v>0</v>
      </c>
      <c r="P393" s="1"/>
      <c r="Q393" s="64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4">
        <v>386.0</v>
      </c>
      <c r="C394" s="56" t="s">
        <v>434</v>
      </c>
      <c r="D394" s="67">
        <v>157657.66</v>
      </c>
      <c r="E394" s="64">
        <v>3.4</v>
      </c>
      <c r="F394" s="59">
        <f t="shared" si="6"/>
        <v>536036.044</v>
      </c>
      <c r="G394" s="64">
        <v>3.4</v>
      </c>
      <c r="H394" s="59">
        <f t="shared" si="1"/>
        <v>536036.044</v>
      </c>
      <c r="I394" s="39"/>
      <c r="J394" s="39"/>
      <c r="K394" s="60">
        <f t="shared" si="2"/>
        <v>0</v>
      </c>
      <c r="L394" s="39"/>
      <c r="M394" s="59">
        <f t="shared" si="3"/>
        <v>0</v>
      </c>
      <c r="N394" s="69">
        <v>3.4</v>
      </c>
      <c r="O394" s="62">
        <f t="shared" si="4"/>
        <v>0</v>
      </c>
      <c r="P394" s="1"/>
      <c r="Q394" s="64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4">
        <v>387.0</v>
      </c>
      <c r="C395" s="56" t="s">
        <v>435</v>
      </c>
      <c r="D395" s="67">
        <v>378467.0</v>
      </c>
      <c r="E395" s="64">
        <v>1.85</v>
      </c>
      <c r="F395" s="59">
        <f t="shared" si="6"/>
        <v>700163.95</v>
      </c>
      <c r="G395" s="64">
        <v>1.85</v>
      </c>
      <c r="H395" s="59">
        <f t="shared" si="1"/>
        <v>700163.95</v>
      </c>
      <c r="I395" s="39"/>
      <c r="J395" s="39"/>
      <c r="K395" s="60">
        <f t="shared" si="2"/>
        <v>0</v>
      </c>
      <c r="L395" s="39"/>
      <c r="M395" s="59">
        <f t="shared" si="3"/>
        <v>0</v>
      </c>
      <c r="N395" s="69">
        <v>1.8499999999999999</v>
      </c>
      <c r="O395" s="62">
        <f t="shared" si="4"/>
        <v>0</v>
      </c>
      <c r="P395" s="1"/>
      <c r="Q395" s="64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4">
        <v>388.0</v>
      </c>
      <c r="C396" s="56" t="s">
        <v>436</v>
      </c>
      <c r="D396" s="67">
        <v>157657.66</v>
      </c>
      <c r="E396" s="64">
        <v>0.0</v>
      </c>
      <c r="F396" s="59">
        <f t="shared" si="6"/>
        <v>0</v>
      </c>
      <c r="G396" s="64">
        <v>0.0</v>
      </c>
      <c r="H396" s="59">
        <f t="shared" si="1"/>
        <v>0</v>
      </c>
      <c r="I396" s="39"/>
      <c r="J396" s="39"/>
      <c r="K396" s="60">
        <f t="shared" si="2"/>
        <v>0</v>
      </c>
      <c r="L396" s="39"/>
      <c r="M396" s="59">
        <f t="shared" si="3"/>
        <v>0</v>
      </c>
      <c r="N396" s="61">
        <v>0.0</v>
      </c>
      <c r="O396" s="62">
        <f t="shared" si="4"/>
        <v>0</v>
      </c>
      <c r="P396" s="1"/>
      <c r="Q396" s="64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4">
        <v>389.0</v>
      </c>
      <c r="C397" s="56" t="s">
        <v>437</v>
      </c>
      <c r="D397" s="67">
        <v>157657.66</v>
      </c>
      <c r="E397" s="64">
        <v>0.0</v>
      </c>
      <c r="F397" s="59">
        <f t="shared" si="6"/>
        <v>0</v>
      </c>
      <c r="G397" s="64">
        <v>0.0</v>
      </c>
      <c r="H397" s="59">
        <f t="shared" si="1"/>
        <v>0</v>
      </c>
      <c r="I397" s="39"/>
      <c r="J397" s="39"/>
      <c r="K397" s="60">
        <f t="shared" si="2"/>
        <v>0</v>
      </c>
      <c r="L397" s="39"/>
      <c r="M397" s="59">
        <f t="shared" si="3"/>
        <v>0</v>
      </c>
      <c r="N397" s="61">
        <v>0.0</v>
      </c>
      <c r="O397" s="62">
        <f t="shared" si="4"/>
        <v>0</v>
      </c>
      <c r="P397" s="1"/>
      <c r="Q397" s="64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4">
        <v>390.0</v>
      </c>
      <c r="C398" s="56" t="s">
        <v>438</v>
      </c>
      <c r="D398" s="67">
        <v>157657.66</v>
      </c>
      <c r="E398" s="64">
        <v>0.6</v>
      </c>
      <c r="F398" s="59">
        <f t="shared" si="6"/>
        <v>94594.596</v>
      </c>
      <c r="G398" s="64">
        <v>0.6</v>
      </c>
      <c r="H398" s="59">
        <f t="shared" si="1"/>
        <v>94594.596</v>
      </c>
      <c r="I398" s="39"/>
      <c r="J398" s="39"/>
      <c r="K398" s="60">
        <f t="shared" si="2"/>
        <v>0</v>
      </c>
      <c r="L398" s="39"/>
      <c r="M398" s="59">
        <f t="shared" si="3"/>
        <v>0</v>
      </c>
      <c r="N398" s="61">
        <v>0.6</v>
      </c>
      <c r="O398" s="62">
        <f t="shared" si="4"/>
        <v>0</v>
      </c>
      <c r="P398" s="1"/>
      <c r="Q398" s="64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4">
        <v>391.0</v>
      </c>
      <c r="C399" s="56" t="s">
        <v>439</v>
      </c>
      <c r="D399" s="67">
        <v>340000.0</v>
      </c>
      <c r="E399" s="64">
        <v>165.0</v>
      </c>
      <c r="F399" s="59">
        <f t="shared" si="6"/>
        <v>56100000</v>
      </c>
      <c r="G399" s="64">
        <v>165.0</v>
      </c>
      <c r="H399" s="59">
        <f t="shared" si="1"/>
        <v>56100000</v>
      </c>
      <c r="I399" s="39"/>
      <c r="J399" s="39"/>
      <c r="K399" s="60">
        <f t="shared" si="2"/>
        <v>0</v>
      </c>
      <c r="L399" s="39"/>
      <c r="M399" s="59">
        <f t="shared" si="3"/>
        <v>0</v>
      </c>
      <c r="N399" s="68">
        <v>165.0</v>
      </c>
      <c r="O399" s="62">
        <f t="shared" si="4"/>
        <v>0</v>
      </c>
      <c r="P399" s="1"/>
      <c r="Q399" s="64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4">
        <v>392.0</v>
      </c>
      <c r="C400" s="56" t="s">
        <v>440</v>
      </c>
      <c r="D400" s="67">
        <v>3700000.0</v>
      </c>
      <c r="E400" s="64">
        <v>12.0</v>
      </c>
      <c r="F400" s="59">
        <f t="shared" si="6"/>
        <v>44400000</v>
      </c>
      <c r="G400" s="64">
        <v>12.0</v>
      </c>
      <c r="H400" s="59">
        <f t="shared" si="1"/>
        <v>44400000</v>
      </c>
      <c r="I400" s="39"/>
      <c r="J400" s="39"/>
      <c r="K400" s="60">
        <f t="shared" si="2"/>
        <v>0</v>
      </c>
      <c r="L400" s="39"/>
      <c r="M400" s="59">
        <f t="shared" si="3"/>
        <v>0</v>
      </c>
      <c r="N400" s="61">
        <v>12.0</v>
      </c>
      <c r="O400" s="62">
        <f t="shared" si="4"/>
        <v>0</v>
      </c>
      <c r="P400" s="1"/>
      <c r="Q400" s="64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4">
        <v>393.0</v>
      </c>
      <c r="C401" s="56" t="s">
        <v>441</v>
      </c>
      <c r="D401" s="67">
        <v>1650000.0</v>
      </c>
      <c r="E401" s="64">
        <v>2.0</v>
      </c>
      <c r="F401" s="59">
        <f t="shared" si="6"/>
        <v>3300000</v>
      </c>
      <c r="G401" s="64">
        <v>2.0</v>
      </c>
      <c r="H401" s="59">
        <f t="shared" si="1"/>
        <v>3300000</v>
      </c>
      <c r="I401" s="39"/>
      <c r="J401" s="39"/>
      <c r="K401" s="60">
        <f t="shared" si="2"/>
        <v>0</v>
      </c>
      <c r="L401" s="39"/>
      <c r="M401" s="59">
        <f t="shared" si="3"/>
        <v>0</v>
      </c>
      <c r="N401" s="61">
        <v>2.0</v>
      </c>
      <c r="O401" s="62">
        <f t="shared" si="4"/>
        <v>0</v>
      </c>
      <c r="P401" s="1"/>
      <c r="Q401" s="64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4">
        <v>394.0</v>
      </c>
      <c r="C402" s="56" t="s">
        <v>442</v>
      </c>
      <c r="D402" s="67">
        <v>1500000.0</v>
      </c>
      <c r="E402" s="64">
        <v>5.0</v>
      </c>
      <c r="F402" s="59">
        <f t="shared" si="6"/>
        <v>7500000</v>
      </c>
      <c r="G402" s="64">
        <v>5.0</v>
      </c>
      <c r="H402" s="59">
        <f t="shared" si="1"/>
        <v>7500000</v>
      </c>
      <c r="I402" s="39"/>
      <c r="J402" s="39"/>
      <c r="K402" s="60">
        <f t="shared" si="2"/>
        <v>0</v>
      </c>
      <c r="L402" s="39"/>
      <c r="M402" s="59">
        <f t="shared" si="3"/>
        <v>0</v>
      </c>
      <c r="N402" s="61">
        <v>5.0</v>
      </c>
      <c r="O402" s="62">
        <f t="shared" si="4"/>
        <v>0</v>
      </c>
      <c r="P402" s="1"/>
      <c r="Q402" s="64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4">
        <v>395.0</v>
      </c>
      <c r="C403" s="56" t="s">
        <v>443</v>
      </c>
      <c r="D403" s="67">
        <v>1200000.0</v>
      </c>
      <c r="E403" s="64">
        <v>1.0</v>
      </c>
      <c r="F403" s="59">
        <f t="shared" si="6"/>
        <v>1200000</v>
      </c>
      <c r="G403" s="64">
        <v>1.0</v>
      </c>
      <c r="H403" s="59">
        <f t="shared" si="1"/>
        <v>1200000</v>
      </c>
      <c r="I403" s="39"/>
      <c r="J403" s="39"/>
      <c r="K403" s="60">
        <f t="shared" si="2"/>
        <v>0</v>
      </c>
      <c r="L403" s="39"/>
      <c r="M403" s="59">
        <f t="shared" si="3"/>
        <v>0</v>
      </c>
      <c r="N403" s="61">
        <v>1.0</v>
      </c>
      <c r="O403" s="62">
        <f t="shared" si="4"/>
        <v>0</v>
      </c>
      <c r="P403" s="1"/>
      <c r="Q403" s="64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4">
        <v>396.0</v>
      </c>
      <c r="C404" s="56" t="s">
        <v>444</v>
      </c>
      <c r="D404" s="67">
        <v>1130000.0</v>
      </c>
      <c r="E404" s="64">
        <v>8.0</v>
      </c>
      <c r="F404" s="59">
        <f t="shared" si="6"/>
        <v>9040000</v>
      </c>
      <c r="G404" s="64">
        <v>8.0</v>
      </c>
      <c r="H404" s="59">
        <f t="shared" si="1"/>
        <v>9040000</v>
      </c>
      <c r="I404" s="39"/>
      <c r="J404" s="39"/>
      <c r="K404" s="60">
        <f t="shared" si="2"/>
        <v>0</v>
      </c>
      <c r="L404" s="39"/>
      <c r="M404" s="59">
        <f t="shared" si="3"/>
        <v>0</v>
      </c>
      <c r="N404" s="61">
        <v>8.0</v>
      </c>
      <c r="O404" s="62">
        <f t="shared" si="4"/>
        <v>0</v>
      </c>
      <c r="P404" s="1"/>
      <c r="Q404" s="64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4">
        <v>397.0</v>
      </c>
      <c r="C405" s="56" t="s">
        <v>445</v>
      </c>
      <c r="D405" s="67">
        <v>670000.0</v>
      </c>
      <c r="E405" s="64">
        <v>30.0</v>
      </c>
      <c r="F405" s="59">
        <f t="shared" si="6"/>
        <v>20100000</v>
      </c>
      <c r="G405" s="64">
        <v>30.0</v>
      </c>
      <c r="H405" s="59">
        <f t="shared" si="1"/>
        <v>20100000</v>
      </c>
      <c r="I405" s="39"/>
      <c r="J405" s="39"/>
      <c r="K405" s="60">
        <f t="shared" si="2"/>
        <v>0</v>
      </c>
      <c r="L405" s="39"/>
      <c r="M405" s="59">
        <f t="shared" si="3"/>
        <v>0</v>
      </c>
      <c r="N405" s="61">
        <v>30.0</v>
      </c>
      <c r="O405" s="62">
        <f t="shared" si="4"/>
        <v>0</v>
      </c>
      <c r="P405" s="1"/>
      <c r="Q405" s="64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4">
        <v>398.0</v>
      </c>
      <c r="C406" s="56" t="s">
        <v>446</v>
      </c>
      <c r="D406" s="67">
        <v>3530000.0</v>
      </c>
      <c r="E406" s="64">
        <v>2.0</v>
      </c>
      <c r="F406" s="59">
        <f t="shared" si="6"/>
        <v>7060000</v>
      </c>
      <c r="G406" s="64">
        <v>2.0</v>
      </c>
      <c r="H406" s="59">
        <f t="shared" si="1"/>
        <v>7060000</v>
      </c>
      <c r="I406" s="39"/>
      <c r="J406" s="39"/>
      <c r="K406" s="60">
        <f t="shared" si="2"/>
        <v>0</v>
      </c>
      <c r="L406" s="39"/>
      <c r="M406" s="59">
        <f t="shared" si="3"/>
        <v>0</v>
      </c>
      <c r="N406" s="61">
        <v>2.0</v>
      </c>
      <c r="O406" s="62">
        <f t="shared" si="4"/>
        <v>0</v>
      </c>
      <c r="P406" s="1"/>
      <c r="Q406" s="64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4">
        <v>399.0</v>
      </c>
      <c r="C407" s="56" t="s">
        <v>447</v>
      </c>
      <c r="D407" s="67">
        <v>3530000.0</v>
      </c>
      <c r="E407" s="64">
        <v>9.0</v>
      </c>
      <c r="F407" s="59">
        <f t="shared" si="6"/>
        <v>31770000</v>
      </c>
      <c r="G407" s="64">
        <v>9.0</v>
      </c>
      <c r="H407" s="59">
        <f t="shared" si="1"/>
        <v>31770000</v>
      </c>
      <c r="I407" s="39"/>
      <c r="J407" s="39"/>
      <c r="K407" s="60">
        <f t="shared" si="2"/>
        <v>0</v>
      </c>
      <c r="L407" s="39"/>
      <c r="M407" s="59">
        <f t="shared" si="3"/>
        <v>0</v>
      </c>
      <c r="N407" s="61">
        <v>9.0</v>
      </c>
      <c r="O407" s="62">
        <f t="shared" si="4"/>
        <v>0</v>
      </c>
      <c r="P407" s="1"/>
      <c r="Q407" s="64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4">
        <v>400.0</v>
      </c>
      <c r="C408" s="56" t="s">
        <v>448</v>
      </c>
      <c r="D408" s="67">
        <v>179279.0</v>
      </c>
      <c r="E408" s="64">
        <v>4.0</v>
      </c>
      <c r="F408" s="59">
        <f t="shared" si="6"/>
        <v>717116</v>
      </c>
      <c r="G408" s="64">
        <v>4.0</v>
      </c>
      <c r="H408" s="59">
        <f t="shared" si="1"/>
        <v>717116</v>
      </c>
      <c r="I408" s="39"/>
      <c r="J408" s="39"/>
      <c r="K408" s="60">
        <f t="shared" si="2"/>
        <v>0</v>
      </c>
      <c r="L408" s="39"/>
      <c r="M408" s="59">
        <f t="shared" si="3"/>
        <v>0</v>
      </c>
      <c r="N408" s="61">
        <v>4.0</v>
      </c>
      <c r="O408" s="62">
        <f t="shared" si="4"/>
        <v>0</v>
      </c>
      <c r="P408" s="1"/>
      <c r="Q408" s="64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4">
        <v>401.0</v>
      </c>
      <c r="C409" s="56" t="s">
        <v>449</v>
      </c>
      <c r="D409" s="67">
        <v>600000.0</v>
      </c>
      <c r="E409" s="64">
        <v>1.0</v>
      </c>
      <c r="F409" s="59">
        <f t="shared" si="6"/>
        <v>600000</v>
      </c>
      <c r="G409" s="64">
        <v>1.0</v>
      </c>
      <c r="H409" s="59">
        <f t="shared" si="1"/>
        <v>600000</v>
      </c>
      <c r="I409" s="39"/>
      <c r="J409" s="39"/>
      <c r="K409" s="60">
        <f t="shared" si="2"/>
        <v>0</v>
      </c>
      <c r="L409" s="39"/>
      <c r="M409" s="59">
        <f t="shared" si="3"/>
        <v>0</v>
      </c>
      <c r="N409" s="61">
        <v>1.0</v>
      </c>
      <c r="O409" s="62">
        <f t="shared" si="4"/>
        <v>0</v>
      </c>
      <c r="P409" s="1"/>
      <c r="Q409" s="64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4">
        <v>402.0</v>
      </c>
      <c r="C410" s="56" t="s">
        <v>450</v>
      </c>
      <c r="D410" s="67">
        <v>163000.0</v>
      </c>
      <c r="E410" s="56">
        <v>0.0</v>
      </c>
      <c r="F410" s="59">
        <f t="shared" si="6"/>
        <v>0</v>
      </c>
      <c r="G410" s="56">
        <v>0.0</v>
      </c>
      <c r="H410" s="59">
        <f t="shared" si="1"/>
        <v>0</v>
      </c>
      <c r="I410" s="39"/>
      <c r="J410" s="39"/>
      <c r="K410" s="60">
        <f t="shared" si="2"/>
        <v>0</v>
      </c>
      <c r="L410" s="39"/>
      <c r="M410" s="59">
        <f t="shared" si="3"/>
        <v>0</v>
      </c>
      <c r="N410" s="61">
        <v>0.0</v>
      </c>
      <c r="O410" s="62">
        <f t="shared" si="4"/>
        <v>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4">
        <v>403.0</v>
      </c>
      <c r="C411" s="56" t="s">
        <v>451</v>
      </c>
      <c r="D411" s="67">
        <v>630630.63</v>
      </c>
      <c r="E411" s="56">
        <v>0.0</v>
      </c>
      <c r="F411" s="59">
        <f t="shared" si="6"/>
        <v>0</v>
      </c>
      <c r="G411" s="56">
        <v>0.0</v>
      </c>
      <c r="H411" s="59">
        <f t="shared" si="1"/>
        <v>0</v>
      </c>
      <c r="I411" s="39"/>
      <c r="J411" s="39"/>
      <c r="K411" s="60">
        <f t="shared" si="2"/>
        <v>0</v>
      </c>
      <c r="L411" s="39"/>
      <c r="M411" s="59">
        <f t="shared" si="3"/>
        <v>0</v>
      </c>
      <c r="N411" s="61">
        <v>0.0</v>
      </c>
      <c r="O411" s="62">
        <f t="shared" si="4"/>
        <v>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4">
        <v>404.0</v>
      </c>
      <c r="C412" s="56" t="s">
        <v>452</v>
      </c>
      <c r="D412" s="67">
        <v>1.1475E7</v>
      </c>
      <c r="E412" s="56">
        <v>0.0</v>
      </c>
      <c r="F412" s="59">
        <f t="shared" si="6"/>
        <v>0</v>
      </c>
      <c r="G412" s="56">
        <v>0.0</v>
      </c>
      <c r="H412" s="59">
        <f t="shared" si="1"/>
        <v>0</v>
      </c>
      <c r="I412" s="39"/>
      <c r="J412" s="39"/>
      <c r="K412" s="60">
        <f t="shared" si="2"/>
        <v>0</v>
      </c>
      <c r="L412" s="39"/>
      <c r="M412" s="59">
        <f t="shared" si="3"/>
        <v>0</v>
      </c>
      <c r="N412" s="61">
        <v>0.0</v>
      </c>
      <c r="O412" s="62">
        <f t="shared" si="4"/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4">
        <v>405.0</v>
      </c>
      <c r="C413" s="56" t="s">
        <v>453</v>
      </c>
      <c r="D413" s="67">
        <v>3875.0</v>
      </c>
      <c r="E413" s="56">
        <v>1.0</v>
      </c>
      <c r="F413" s="59">
        <f t="shared" si="6"/>
        <v>3875</v>
      </c>
      <c r="G413" s="56">
        <v>1.0</v>
      </c>
      <c r="H413" s="59">
        <f t="shared" si="1"/>
        <v>3875</v>
      </c>
      <c r="I413" s="39"/>
      <c r="J413" s="39"/>
      <c r="K413" s="60">
        <f t="shared" si="2"/>
        <v>0</v>
      </c>
      <c r="L413" s="39"/>
      <c r="M413" s="59">
        <f t="shared" si="3"/>
        <v>0</v>
      </c>
      <c r="N413" s="61">
        <v>1.0</v>
      </c>
      <c r="O413" s="62">
        <f t="shared" si="4"/>
        <v>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4">
        <v>406.0</v>
      </c>
      <c r="C414" s="56" t="s">
        <v>454</v>
      </c>
      <c r="D414" s="67">
        <v>875.0</v>
      </c>
      <c r="E414" s="56">
        <v>1.0</v>
      </c>
      <c r="F414" s="59">
        <f t="shared" si="6"/>
        <v>875</v>
      </c>
      <c r="G414" s="56">
        <v>1.0</v>
      </c>
      <c r="H414" s="59">
        <f t="shared" si="1"/>
        <v>875</v>
      </c>
      <c r="I414" s="39"/>
      <c r="J414" s="39"/>
      <c r="K414" s="60">
        <f t="shared" si="2"/>
        <v>0</v>
      </c>
      <c r="L414" s="39"/>
      <c r="M414" s="59">
        <f t="shared" si="3"/>
        <v>0</v>
      </c>
      <c r="N414" s="61">
        <v>1.0</v>
      </c>
      <c r="O414" s="62">
        <f t="shared" si="4"/>
        <v>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4">
        <v>407.0</v>
      </c>
      <c r="C415" s="56" t="s">
        <v>455</v>
      </c>
      <c r="D415" s="70"/>
      <c r="E415" s="56">
        <v>2.0</v>
      </c>
      <c r="F415" s="59">
        <f t="shared" si="6"/>
        <v>0</v>
      </c>
      <c r="G415" s="56">
        <v>2.0</v>
      </c>
      <c r="H415" s="59">
        <f t="shared" si="1"/>
        <v>0</v>
      </c>
      <c r="I415" s="39"/>
      <c r="J415" s="39"/>
      <c r="K415" s="60">
        <f t="shared" si="2"/>
        <v>0</v>
      </c>
      <c r="L415" s="39"/>
      <c r="M415" s="59">
        <f t="shared" si="3"/>
        <v>0</v>
      </c>
      <c r="N415" s="61">
        <v>2.0</v>
      </c>
      <c r="O415" s="62">
        <f t="shared" si="4"/>
        <v>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4">
        <v>408.0</v>
      </c>
      <c r="C416" s="56" t="s">
        <v>456</v>
      </c>
      <c r="D416" s="70"/>
      <c r="E416" s="56">
        <v>2.0</v>
      </c>
      <c r="F416" s="59">
        <f t="shared" si="6"/>
        <v>0</v>
      </c>
      <c r="G416" s="56">
        <v>2.0</v>
      </c>
      <c r="H416" s="59">
        <f t="shared" si="1"/>
        <v>0</v>
      </c>
      <c r="I416" s="39"/>
      <c r="J416" s="39"/>
      <c r="K416" s="60">
        <f t="shared" si="2"/>
        <v>0</v>
      </c>
      <c r="L416" s="39"/>
      <c r="M416" s="59">
        <f t="shared" si="3"/>
        <v>0</v>
      </c>
      <c r="N416" s="61">
        <v>2.0</v>
      </c>
      <c r="O416" s="62">
        <f t="shared" si="4"/>
        <v>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4">
        <v>409.0</v>
      </c>
      <c r="C417" s="56" t="s">
        <v>457</v>
      </c>
      <c r="D417" s="70"/>
      <c r="E417" s="56">
        <v>1.0</v>
      </c>
      <c r="F417" s="59">
        <f t="shared" si="6"/>
        <v>0</v>
      </c>
      <c r="G417" s="56">
        <v>1.0</v>
      </c>
      <c r="H417" s="59">
        <f t="shared" si="1"/>
        <v>0</v>
      </c>
      <c r="I417" s="39"/>
      <c r="J417" s="39"/>
      <c r="K417" s="60">
        <f t="shared" si="2"/>
        <v>0</v>
      </c>
      <c r="L417" s="39"/>
      <c r="M417" s="59">
        <f t="shared" si="3"/>
        <v>0</v>
      </c>
      <c r="N417" s="61">
        <v>1.0</v>
      </c>
      <c r="O417" s="62">
        <f t="shared" si="4"/>
        <v>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4">
        <v>410.0</v>
      </c>
      <c r="C418" s="56" t="s">
        <v>458</v>
      </c>
      <c r="D418" s="70"/>
      <c r="E418" s="56">
        <v>1.0</v>
      </c>
      <c r="F418" s="59">
        <f t="shared" si="6"/>
        <v>0</v>
      </c>
      <c r="G418" s="56">
        <v>1.0</v>
      </c>
      <c r="H418" s="59">
        <f t="shared" si="1"/>
        <v>0</v>
      </c>
      <c r="I418" s="39"/>
      <c r="J418" s="39"/>
      <c r="K418" s="60">
        <f t="shared" si="2"/>
        <v>0</v>
      </c>
      <c r="L418" s="39"/>
      <c r="M418" s="59">
        <f t="shared" si="3"/>
        <v>0</v>
      </c>
      <c r="N418" s="61">
        <v>1.0</v>
      </c>
      <c r="O418" s="62">
        <f t="shared" si="4"/>
        <v>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4">
        <v>411.0</v>
      </c>
      <c r="C419" s="56" t="s">
        <v>459</v>
      </c>
      <c r="D419" s="70"/>
      <c r="E419" s="56">
        <v>1.0</v>
      </c>
      <c r="F419" s="59">
        <f t="shared" si="6"/>
        <v>0</v>
      </c>
      <c r="G419" s="56">
        <v>1.0</v>
      </c>
      <c r="H419" s="59">
        <f t="shared" si="1"/>
        <v>0</v>
      </c>
      <c r="I419" s="39"/>
      <c r="J419" s="39"/>
      <c r="K419" s="60">
        <f t="shared" si="2"/>
        <v>0</v>
      </c>
      <c r="L419" s="39"/>
      <c r="M419" s="59">
        <f t="shared" si="3"/>
        <v>0</v>
      </c>
      <c r="N419" s="61">
        <v>1.0</v>
      </c>
      <c r="O419" s="62">
        <f t="shared" si="4"/>
        <v>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4">
        <v>412.0</v>
      </c>
      <c r="C420" s="56" t="s">
        <v>460</v>
      </c>
      <c r="D420" s="70"/>
      <c r="E420" s="56">
        <v>3.0</v>
      </c>
      <c r="F420" s="59">
        <f t="shared" si="6"/>
        <v>0</v>
      </c>
      <c r="G420" s="56">
        <v>3.0</v>
      </c>
      <c r="H420" s="59">
        <f t="shared" si="1"/>
        <v>0</v>
      </c>
      <c r="I420" s="39"/>
      <c r="J420" s="39"/>
      <c r="K420" s="60">
        <f t="shared" si="2"/>
        <v>0</v>
      </c>
      <c r="L420" s="39"/>
      <c r="M420" s="59">
        <f t="shared" si="3"/>
        <v>0</v>
      </c>
      <c r="N420" s="61">
        <v>3.0</v>
      </c>
      <c r="O420" s="62">
        <f t="shared" si="4"/>
        <v>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4">
        <v>413.0</v>
      </c>
      <c r="C421" s="56" t="s">
        <v>461</v>
      </c>
      <c r="D421" s="70"/>
      <c r="E421" s="56">
        <v>3.0</v>
      </c>
      <c r="F421" s="59">
        <f t="shared" si="6"/>
        <v>0</v>
      </c>
      <c r="G421" s="56">
        <v>3.0</v>
      </c>
      <c r="H421" s="59">
        <f t="shared" si="1"/>
        <v>0</v>
      </c>
      <c r="I421" s="39"/>
      <c r="J421" s="39"/>
      <c r="K421" s="60">
        <f t="shared" si="2"/>
        <v>0</v>
      </c>
      <c r="L421" s="39"/>
      <c r="M421" s="59">
        <f t="shared" si="3"/>
        <v>0</v>
      </c>
      <c r="N421" s="61">
        <v>3.0</v>
      </c>
      <c r="O421" s="62">
        <f t="shared" si="4"/>
        <v>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4">
        <v>414.0</v>
      </c>
      <c r="C422" s="56" t="s">
        <v>462</v>
      </c>
      <c r="D422" s="70"/>
      <c r="E422" s="56">
        <v>13.0</v>
      </c>
      <c r="F422" s="59">
        <f t="shared" si="6"/>
        <v>0</v>
      </c>
      <c r="G422" s="56">
        <v>13.0</v>
      </c>
      <c r="H422" s="59">
        <f t="shared" si="1"/>
        <v>0</v>
      </c>
      <c r="I422" s="39"/>
      <c r="J422" s="39"/>
      <c r="K422" s="60">
        <f t="shared" si="2"/>
        <v>0</v>
      </c>
      <c r="L422" s="39"/>
      <c r="M422" s="59">
        <f t="shared" si="3"/>
        <v>0</v>
      </c>
      <c r="N422" s="61">
        <v>13.0</v>
      </c>
      <c r="O422" s="62">
        <f t="shared" si="4"/>
        <v>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4">
        <v>415.0</v>
      </c>
      <c r="C423" s="56" t="s">
        <v>463</v>
      </c>
      <c r="D423" s="70"/>
      <c r="E423" s="56">
        <v>1.0</v>
      </c>
      <c r="F423" s="59">
        <f t="shared" si="6"/>
        <v>0</v>
      </c>
      <c r="G423" s="56">
        <v>1.0</v>
      </c>
      <c r="H423" s="59">
        <f t="shared" si="1"/>
        <v>0</v>
      </c>
      <c r="I423" s="39"/>
      <c r="J423" s="39"/>
      <c r="K423" s="60">
        <f t="shared" si="2"/>
        <v>0</v>
      </c>
      <c r="L423" s="39"/>
      <c r="M423" s="59">
        <f t="shared" si="3"/>
        <v>0</v>
      </c>
      <c r="N423" s="61">
        <v>1.0</v>
      </c>
      <c r="O423" s="62">
        <f t="shared" si="4"/>
        <v>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4">
        <v>416.0</v>
      </c>
      <c r="C424" s="56" t="s">
        <v>464</v>
      </c>
      <c r="D424" s="67">
        <v>7125.0</v>
      </c>
      <c r="E424" s="56">
        <v>79.0</v>
      </c>
      <c r="F424" s="59">
        <f t="shared" si="6"/>
        <v>562875</v>
      </c>
      <c r="G424" s="56">
        <v>79.0</v>
      </c>
      <c r="H424" s="59">
        <f t="shared" si="1"/>
        <v>562875</v>
      </c>
      <c r="I424" s="39"/>
      <c r="J424" s="39"/>
      <c r="K424" s="60">
        <f t="shared" si="2"/>
        <v>0</v>
      </c>
      <c r="L424" s="39"/>
      <c r="M424" s="59">
        <f t="shared" si="3"/>
        <v>0</v>
      </c>
      <c r="N424" s="61">
        <v>79.0</v>
      </c>
      <c r="O424" s="62">
        <f t="shared" si="4"/>
        <v>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4">
        <v>417.0</v>
      </c>
      <c r="C425" s="56" t="s">
        <v>465</v>
      </c>
      <c r="D425" s="67">
        <v>875.0</v>
      </c>
      <c r="E425" s="56">
        <v>197.0</v>
      </c>
      <c r="F425" s="59">
        <f t="shared" si="6"/>
        <v>172375</v>
      </c>
      <c r="G425" s="56">
        <v>197.0</v>
      </c>
      <c r="H425" s="59">
        <f t="shared" si="1"/>
        <v>172375</v>
      </c>
      <c r="I425" s="39"/>
      <c r="J425" s="39"/>
      <c r="K425" s="60">
        <f t="shared" si="2"/>
        <v>0</v>
      </c>
      <c r="L425" s="39"/>
      <c r="M425" s="59">
        <f t="shared" si="3"/>
        <v>0</v>
      </c>
      <c r="N425" s="61">
        <v>197.0</v>
      </c>
      <c r="O425" s="62">
        <f t="shared" si="4"/>
        <v>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4">
        <v>418.0</v>
      </c>
      <c r="C426" s="56" t="s">
        <v>466</v>
      </c>
      <c r="D426" s="67">
        <v>17500.0</v>
      </c>
      <c r="E426" s="56">
        <v>7.0</v>
      </c>
      <c r="F426" s="59">
        <f t="shared" si="6"/>
        <v>122500</v>
      </c>
      <c r="G426" s="56">
        <v>8.0</v>
      </c>
      <c r="H426" s="59">
        <f t="shared" si="1"/>
        <v>140000</v>
      </c>
      <c r="I426" s="39"/>
      <c r="J426" s="39"/>
      <c r="K426" s="60">
        <f t="shared" si="2"/>
        <v>0</v>
      </c>
      <c r="L426" s="56">
        <v>1.0</v>
      </c>
      <c r="M426" s="59">
        <f t="shared" si="3"/>
        <v>17500</v>
      </c>
      <c r="N426" s="61">
        <v>8.0</v>
      </c>
      <c r="O426" s="62">
        <f t="shared" si="4"/>
        <v>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4">
        <v>419.0</v>
      </c>
      <c r="C427" s="56" t="s">
        <v>467</v>
      </c>
      <c r="D427" s="67">
        <v>12500.0</v>
      </c>
      <c r="E427" s="56">
        <v>37.0</v>
      </c>
      <c r="F427" s="59">
        <f t="shared" si="6"/>
        <v>462500</v>
      </c>
      <c r="G427" s="56">
        <v>37.0</v>
      </c>
      <c r="H427" s="59">
        <f t="shared" si="1"/>
        <v>462500</v>
      </c>
      <c r="I427" s="39"/>
      <c r="J427" s="39"/>
      <c r="K427" s="60">
        <f t="shared" si="2"/>
        <v>0</v>
      </c>
      <c r="L427" s="39"/>
      <c r="M427" s="59">
        <f t="shared" si="3"/>
        <v>0</v>
      </c>
      <c r="N427" s="61">
        <v>37.0</v>
      </c>
      <c r="O427" s="62">
        <f t="shared" si="4"/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4">
        <v>420.0</v>
      </c>
      <c r="C428" s="56" t="s">
        <v>468</v>
      </c>
      <c r="D428" s="67">
        <v>7000.0</v>
      </c>
      <c r="E428" s="56">
        <v>7.0</v>
      </c>
      <c r="F428" s="59">
        <f t="shared" si="6"/>
        <v>49000</v>
      </c>
      <c r="G428" s="56">
        <v>7.0</v>
      </c>
      <c r="H428" s="59">
        <f t="shared" si="1"/>
        <v>49000</v>
      </c>
      <c r="I428" s="39"/>
      <c r="J428" s="39"/>
      <c r="K428" s="60">
        <f t="shared" si="2"/>
        <v>0</v>
      </c>
      <c r="L428" s="39"/>
      <c r="M428" s="59">
        <f t="shared" si="3"/>
        <v>0</v>
      </c>
      <c r="N428" s="61">
        <v>7.0</v>
      </c>
      <c r="O428" s="62">
        <f t="shared" si="4"/>
        <v>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4">
        <v>421.0</v>
      </c>
      <c r="C429" s="56" t="s">
        <v>469</v>
      </c>
      <c r="D429" s="67">
        <v>1125.0</v>
      </c>
      <c r="E429" s="56">
        <v>590.0</v>
      </c>
      <c r="F429" s="59">
        <f t="shared" si="6"/>
        <v>663750</v>
      </c>
      <c r="G429" s="56">
        <v>590.0</v>
      </c>
      <c r="H429" s="59">
        <f t="shared" si="1"/>
        <v>663750</v>
      </c>
      <c r="I429" s="39"/>
      <c r="J429" s="39"/>
      <c r="K429" s="60">
        <f t="shared" si="2"/>
        <v>0</v>
      </c>
      <c r="L429" s="39"/>
      <c r="M429" s="59">
        <f t="shared" si="3"/>
        <v>0</v>
      </c>
      <c r="N429" s="61">
        <v>590.0</v>
      </c>
      <c r="O429" s="62">
        <f t="shared" si="4"/>
        <v>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4">
        <v>422.0</v>
      </c>
      <c r="C430" s="56" t="s">
        <v>470</v>
      </c>
      <c r="D430" s="67">
        <v>12500.0</v>
      </c>
      <c r="E430" s="56">
        <v>12.0</v>
      </c>
      <c r="F430" s="59">
        <f t="shared" si="6"/>
        <v>150000</v>
      </c>
      <c r="G430" s="56">
        <v>10.0</v>
      </c>
      <c r="H430" s="59">
        <f t="shared" si="1"/>
        <v>125000</v>
      </c>
      <c r="I430" s="39"/>
      <c r="J430" s="56">
        <v>2.0</v>
      </c>
      <c r="K430" s="60">
        <f t="shared" si="2"/>
        <v>25000</v>
      </c>
      <c r="L430" s="39"/>
      <c r="M430" s="59">
        <f t="shared" si="3"/>
        <v>0</v>
      </c>
      <c r="N430" s="61">
        <v>10.0</v>
      </c>
      <c r="O430" s="62">
        <f t="shared" si="4"/>
        <v>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4">
        <v>423.0</v>
      </c>
      <c r="C431" s="56" t="s">
        <v>471</v>
      </c>
      <c r="D431" s="67">
        <v>9071.0</v>
      </c>
      <c r="E431" s="56">
        <v>142.0</v>
      </c>
      <c r="F431" s="59">
        <f t="shared" si="6"/>
        <v>1288082</v>
      </c>
      <c r="G431" s="56">
        <v>142.0</v>
      </c>
      <c r="H431" s="59">
        <f t="shared" si="1"/>
        <v>1288082</v>
      </c>
      <c r="I431" s="39"/>
      <c r="J431" s="39"/>
      <c r="K431" s="60">
        <f t="shared" si="2"/>
        <v>0</v>
      </c>
      <c r="L431" s="39"/>
      <c r="M431" s="59">
        <f t="shared" si="3"/>
        <v>0</v>
      </c>
      <c r="N431" s="69">
        <v>142.0</v>
      </c>
      <c r="O431" s="62">
        <f t="shared" si="4"/>
        <v>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4">
        <v>424.0</v>
      </c>
      <c r="C432" s="56" t="s">
        <v>472</v>
      </c>
      <c r="D432" s="67">
        <v>12500.0</v>
      </c>
      <c r="E432" s="56">
        <v>240.0</v>
      </c>
      <c r="F432" s="59">
        <f t="shared" si="6"/>
        <v>3000000</v>
      </c>
      <c r="G432" s="56">
        <v>240.0</v>
      </c>
      <c r="H432" s="59">
        <f t="shared" si="1"/>
        <v>3000000</v>
      </c>
      <c r="I432" s="39"/>
      <c r="J432" s="39"/>
      <c r="K432" s="60">
        <f t="shared" si="2"/>
        <v>0</v>
      </c>
      <c r="L432" s="39"/>
      <c r="M432" s="59">
        <f t="shared" si="3"/>
        <v>0</v>
      </c>
      <c r="N432" s="69">
        <v>240.0</v>
      </c>
      <c r="O432" s="62">
        <f t="shared" si="4"/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4">
        <v>425.0</v>
      </c>
      <c r="C433" s="56" t="s">
        <v>473</v>
      </c>
      <c r="D433" s="67">
        <v>2000.0</v>
      </c>
      <c r="E433" s="56">
        <v>162.0</v>
      </c>
      <c r="F433" s="59">
        <f t="shared" si="6"/>
        <v>324000</v>
      </c>
      <c r="G433" s="56">
        <v>162.0</v>
      </c>
      <c r="H433" s="59">
        <f t="shared" si="1"/>
        <v>324000</v>
      </c>
      <c r="I433" s="39"/>
      <c r="J433" s="39"/>
      <c r="K433" s="60">
        <f t="shared" si="2"/>
        <v>0</v>
      </c>
      <c r="L433" s="39"/>
      <c r="M433" s="59">
        <f t="shared" si="3"/>
        <v>0</v>
      </c>
      <c r="N433" s="69">
        <v>162.0</v>
      </c>
      <c r="O433" s="62">
        <f t="shared" si="4"/>
        <v>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4">
        <v>426.0</v>
      </c>
      <c r="C434" s="56" t="s">
        <v>474</v>
      </c>
      <c r="D434" s="67">
        <v>3875.0</v>
      </c>
      <c r="E434" s="56">
        <v>31.0</v>
      </c>
      <c r="F434" s="59">
        <f t="shared" si="6"/>
        <v>120125</v>
      </c>
      <c r="G434" s="56">
        <v>31.0</v>
      </c>
      <c r="H434" s="59">
        <f t="shared" si="1"/>
        <v>120125</v>
      </c>
      <c r="I434" s="39"/>
      <c r="J434" s="39"/>
      <c r="K434" s="60">
        <f t="shared" si="2"/>
        <v>0</v>
      </c>
      <c r="L434" s="39"/>
      <c r="M434" s="59">
        <f t="shared" si="3"/>
        <v>0</v>
      </c>
      <c r="N434" s="69">
        <v>31.0</v>
      </c>
      <c r="O434" s="62">
        <f t="shared" si="4"/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4">
        <v>427.0</v>
      </c>
      <c r="C435" s="56" t="s">
        <v>475</v>
      </c>
      <c r="D435" s="67">
        <v>875.0</v>
      </c>
      <c r="E435" s="56">
        <v>199.0</v>
      </c>
      <c r="F435" s="59">
        <f t="shared" si="6"/>
        <v>174125</v>
      </c>
      <c r="G435" s="56">
        <v>199.0</v>
      </c>
      <c r="H435" s="59">
        <f t="shared" si="1"/>
        <v>174125</v>
      </c>
      <c r="I435" s="39"/>
      <c r="J435" s="39"/>
      <c r="K435" s="60">
        <f t="shared" si="2"/>
        <v>0</v>
      </c>
      <c r="L435" s="39"/>
      <c r="M435" s="59">
        <f t="shared" si="3"/>
        <v>0</v>
      </c>
      <c r="N435" s="69">
        <v>199.0</v>
      </c>
      <c r="O435" s="62">
        <f t="shared" si="4"/>
        <v>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4">
        <v>428.0</v>
      </c>
      <c r="C436" s="56" t="s">
        <v>476</v>
      </c>
      <c r="D436" s="70"/>
      <c r="E436" s="56">
        <v>22.0</v>
      </c>
      <c r="F436" s="59">
        <f t="shared" si="6"/>
        <v>0</v>
      </c>
      <c r="G436" s="56">
        <v>22.0</v>
      </c>
      <c r="H436" s="59">
        <f t="shared" si="1"/>
        <v>0</v>
      </c>
      <c r="I436" s="39"/>
      <c r="J436" s="39"/>
      <c r="K436" s="60">
        <f t="shared" si="2"/>
        <v>0</v>
      </c>
      <c r="L436" s="39"/>
      <c r="M436" s="59">
        <f t="shared" si="3"/>
        <v>0</v>
      </c>
      <c r="N436" s="69">
        <v>22.0</v>
      </c>
      <c r="O436" s="62">
        <f t="shared" si="4"/>
        <v>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4">
        <v>429.0</v>
      </c>
      <c r="C437" s="56" t="s">
        <v>477</v>
      </c>
      <c r="D437" s="67">
        <v>445000.0</v>
      </c>
      <c r="E437" s="56">
        <v>21.0</v>
      </c>
      <c r="F437" s="59">
        <f t="shared" si="6"/>
        <v>9345000</v>
      </c>
      <c r="G437" s="56">
        <v>21.0</v>
      </c>
      <c r="H437" s="59">
        <f t="shared" si="1"/>
        <v>9345000</v>
      </c>
      <c r="I437" s="39"/>
      <c r="J437" s="39"/>
      <c r="K437" s="60">
        <f t="shared" si="2"/>
        <v>0</v>
      </c>
      <c r="L437" s="39"/>
      <c r="M437" s="59">
        <f t="shared" si="3"/>
        <v>0</v>
      </c>
      <c r="N437" s="69">
        <v>21.0</v>
      </c>
      <c r="O437" s="62">
        <f t="shared" si="4"/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4">
        <v>430.0</v>
      </c>
      <c r="C438" s="56" t="s">
        <v>478</v>
      </c>
      <c r="D438" s="67">
        <v>117117.12</v>
      </c>
      <c r="E438" s="56">
        <v>15.0</v>
      </c>
      <c r="F438" s="59">
        <f t="shared" si="6"/>
        <v>1756756.8</v>
      </c>
      <c r="G438" s="56">
        <v>15.0</v>
      </c>
      <c r="H438" s="59">
        <f t="shared" si="1"/>
        <v>1756756.8</v>
      </c>
      <c r="I438" s="39"/>
      <c r="J438" s="39"/>
      <c r="K438" s="60">
        <f t="shared" si="2"/>
        <v>0</v>
      </c>
      <c r="L438" s="39"/>
      <c r="M438" s="59">
        <f t="shared" si="3"/>
        <v>0</v>
      </c>
      <c r="N438" s="69">
        <v>15.0</v>
      </c>
      <c r="O438" s="62">
        <f t="shared" si="4"/>
        <v>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4">
        <v>431.0</v>
      </c>
      <c r="C439" s="56" t="s">
        <v>479</v>
      </c>
      <c r="D439" s="67">
        <v>178378.38</v>
      </c>
      <c r="E439" s="56">
        <v>18.0</v>
      </c>
      <c r="F439" s="59">
        <f t="shared" si="6"/>
        <v>3210810.84</v>
      </c>
      <c r="G439" s="56">
        <v>18.0</v>
      </c>
      <c r="H439" s="59">
        <f t="shared" si="1"/>
        <v>3210810.84</v>
      </c>
      <c r="I439" s="39"/>
      <c r="J439" s="39"/>
      <c r="K439" s="60">
        <f t="shared" si="2"/>
        <v>0</v>
      </c>
      <c r="L439" s="39"/>
      <c r="M439" s="59">
        <f t="shared" si="3"/>
        <v>0</v>
      </c>
      <c r="N439" s="69">
        <v>18.0</v>
      </c>
      <c r="O439" s="62">
        <f t="shared" si="4"/>
        <v>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4">
        <v>432.0</v>
      </c>
      <c r="C440" s="56" t="s">
        <v>480</v>
      </c>
      <c r="D440" s="67">
        <v>153153.15</v>
      </c>
      <c r="E440" s="56">
        <v>28.0</v>
      </c>
      <c r="F440" s="59">
        <f t="shared" si="6"/>
        <v>4288288.2</v>
      </c>
      <c r="G440" s="56">
        <v>28.0</v>
      </c>
      <c r="H440" s="59">
        <f t="shared" si="1"/>
        <v>4288288.2</v>
      </c>
      <c r="I440" s="39"/>
      <c r="J440" s="39"/>
      <c r="K440" s="60">
        <f t="shared" si="2"/>
        <v>0</v>
      </c>
      <c r="L440" s="39"/>
      <c r="M440" s="59">
        <f t="shared" si="3"/>
        <v>0</v>
      </c>
      <c r="N440" s="69">
        <v>28.0</v>
      </c>
      <c r="O440" s="62">
        <f t="shared" si="4"/>
        <v>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4">
        <v>433.0</v>
      </c>
      <c r="C441" s="56" t="s">
        <v>481</v>
      </c>
      <c r="D441" s="67">
        <v>41827.93</v>
      </c>
      <c r="E441" s="56">
        <v>1.0</v>
      </c>
      <c r="F441" s="59">
        <f t="shared" si="6"/>
        <v>41827.93</v>
      </c>
      <c r="G441" s="56">
        <v>1.0</v>
      </c>
      <c r="H441" s="59">
        <f t="shared" si="1"/>
        <v>41827.93</v>
      </c>
      <c r="I441" s="39"/>
      <c r="J441" s="39"/>
      <c r="K441" s="60">
        <f t="shared" si="2"/>
        <v>0</v>
      </c>
      <c r="L441" s="39"/>
      <c r="M441" s="59">
        <f t="shared" si="3"/>
        <v>0</v>
      </c>
      <c r="N441" s="69">
        <v>1.0</v>
      </c>
      <c r="O441" s="62">
        <f t="shared" si="4"/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4">
        <v>434.0</v>
      </c>
      <c r="C442" s="56" t="s">
        <v>482</v>
      </c>
      <c r="D442" s="67">
        <v>211711.71</v>
      </c>
      <c r="E442" s="56">
        <v>0.0</v>
      </c>
      <c r="F442" s="59">
        <f t="shared" si="6"/>
        <v>0</v>
      </c>
      <c r="G442" s="56">
        <v>0.0</v>
      </c>
      <c r="H442" s="59">
        <f t="shared" si="1"/>
        <v>0</v>
      </c>
      <c r="I442" s="39"/>
      <c r="J442" s="39"/>
      <c r="K442" s="60">
        <f t="shared" si="2"/>
        <v>0</v>
      </c>
      <c r="L442" s="39"/>
      <c r="M442" s="59">
        <f t="shared" si="3"/>
        <v>0</v>
      </c>
      <c r="N442" s="69">
        <v>0.0</v>
      </c>
      <c r="O442" s="62">
        <f t="shared" si="4"/>
        <v>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4">
        <v>435.0</v>
      </c>
      <c r="C443" s="56" t="s">
        <v>483</v>
      </c>
      <c r="D443" s="67">
        <v>151351.35</v>
      </c>
      <c r="E443" s="56">
        <v>8.0</v>
      </c>
      <c r="F443" s="59">
        <f t="shared" si="6"/>
        <v>1210810.8</v>
      </c>
      <c r="G443" s="56">
        <v>8.0</v>
      </c>
      <c r="H443" s="59">
        <f t="shared" si="1"/>
        <v>1210810.8</v>
      </c>
      <c r="I443" s="39"/>
      <c r="J443" s="39"/>
      <c r="K443" s="60">
        <f t="shared" si="2"/>
        <v>0</v>
      </c>
      <c r="L443" s="39"/>
      <c r="M443" s="59">
        <f t="shared" si="3"/>
        <v>0</v>
      </c>
      <c r="N443" s="69">
        <v>8.0</v>
      </c>
      <c r="O443" s="62">
        <f t="shared" si="4"/>
        <v>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4">
        <v>436.0</v>
      </c>
      <c r="C444" s="56" t="s">
        <v>484</v>
      </c>
      <c r="D444" s="67">
        <v>198198.2</v>
      </c>
      <c r="E444" s="56">
        <v>14.0</v>
      </c>
      <c r="F444" s="59">
        <f t="shared" si="6"/>
        <v>2774774.8</v>
      </c>
      <c r="G444" s="56">
        <v>14.0</v>
      </c>
      <c r="H444" s="59">
        <f t="shared" si="1"/>
        <v>2774774.8</v>
      </c>
      <c r="I444" s="39"/>
      <c r="J444" s="39"/>
      <c r="K444" s="60">
        <f t="shared" si="2"/>
        <v>0</v>
      </c>
      <c r="L444" s="39"/>
      <c r="M444" s="59">
        <f t="shared" si="3"/>
        <v>0</v>
      </c>
      <c r="N444" s="69">
        <v>14.0</v>
      </c>
      <c r="O444" s="62">
        <f t="shared" si="4"/>
        <v>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4">
        <v>437.0</v>
      </c>
      <c r="C445" s="56" t="s">
        <v>485</v>
      </c>
      <c r="D445" s="67">
        <v>176576.58</v>
      </c>
      <c r="E445" s="56">
        <v>6.0</v>
      </c>
      <c r="F445" s="59">
        <f t="shared" si="6"/>
        <v>1059459.48</v>
      </c>
      <c r="G445" s="56">
        <v>6.0</v>
      </c>
      <c r="H445" s="59">
        <f t="shared" si="1"/>
        <v>1059459.48</v>
      </c>
      <c r="I445" s="39"/>
      <c r="J445" s="39"/>
      <c r="K445" s="60">
        <f t="shared" si="2"/>
        <v>0</v>
      </c>
      <c r="L445" s="39"/>
      <c r="M445" s="59">
        <f t="shared" si="3"/>
        <v>0</v>
      </c>
      <c r="N445" s="69">
        <v>6.0</v>
      </c>
      <c r="O445" s="62">
        <f t="shared" si="4"/>
        <v>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4">
        <v>438.0</v>
      </c>
      <c r="C446" s="56" t="s">
        <v>486</v>
      </c>
      <c r="D446" s="67">
        <v>105855.86</v>
      </c>
      <c r="E446" s="56">
        <v>6.0</v>
      </c>
      <c r="F446" s="59">
        <f t="shared" si="6"/>
        <v>635135.16</v>
      </c>
      <c r="G446" s="56">
        <v>6.0</v>
      </c>
      <c r="H446" s="59">
        <f t="shared" si="1"/>
        <v>635135.16</v>
      </c>
      <c r="I446" s="39"/>
      <c r="J446" s="39"/>
      <c r="K446" s="60">
        <f t="shared" si="2"/>
        <v>0</v>
      </c>
      <c r="L446" s="39"/>
      <c r="M446" s="59">
        <f t="shared" si="3"/>
        <v>0</v>
      </c>
      <c r="N446" s="69">
        <v>6.0</v>
      </c>
      <c r="O446" s="62">
        <f t="shared" si="4"/>
        <v>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4">
        <v>439.0</v>
      </c>
      <c r="C447" s="56" t="s">
        <v>487</v>
      </c>
      <c r="D447" s="67">
        <v>305440.0</v>
      </c>
      <c r="E447" s="56">
        <v>34.0</v>
      </c>
      <c r="F447" s="59">
        <f t="shared" si="6"/>
        <v>10384960</v>
      </c>
      <c r="G447" s="56">
        <v>34.0</v>
      </c>
      <c r="H447" s="59">
        <f t="shared" si="1"/>
        <v>10384960</v>
      </c>
      <c r="I447" s="39"/>
      <c r="J447" s="39"/>
      <c r="K447" s="60">
        <f t="shared" si="2"/>
        <v>0</v>
      </c>
      <c r="L447" s="39"/>
      <c r="M447" s="59">
        <f t="shared" si="3"/>
        <v>0</v>
      </c>
      <c r="N447" s="69">
        <v>34.0</v>
      </c>
      <c r="O447" s="62">
        <f t="shared" si="4"/>
        <v>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4">
        <v>440.0</v>
      </c>
      <c r="C448" s="56" t="s">
        <v>488</v>
      </c>
      <c r="D448" s="67">
        <v>41891.89</v>
      </c>
      <c r="E448" s="56">
        <v>120.0</v>
      </c>
      <c r="F448" s="59">
        <f t="shared" si="6"/>
        <v>5027026.8</v>
      </c>
      <c r="G448" s="56">
        <v>120.0</v>
      </c>
      <c r="H448" s="59">
        <f t="shared" si="1"/>
        <v>5027026.8</v>
      </c>
      <c r="I448" s="39"/>
      <c r="J448" s="39"/>
      <c r="K448" s="60">
        <f t="shared" si="2"/>
        <v>0</v>
      </c>
      <c r="L448" s="39"/>
      <c r="M448" s="59">
        <f t="shared" si="3"/>
        <v>0</v>
      </c>
      <c r="N448" s="69">
        <v>120.0</v>
      </c>
      <c r="O448" s="62">
        <f t="shared" si="4"/>
        <v>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4">
        <v>441.0</v>
      </c>
      <c r="C449" s="56" t="s">
        <v>489</v>
      </c>
      <c r="D449" s="67">
        <v>40540.54</v>
      </c>
      <c r="E449" s="56">
        <v>100.0</v>
      </c>
      <c r="F449" s="59">
        <f t="shared" si="6"/>
        <v>4054054</v>
      </c>
      <c r="G449" s="56">
        <v>100.0</v>
      </c>
      <c r="H449" s="59">
        <f t="shared" si="1"/>
        <v>4054054</v>
      </c>
      <c r="I449" s="39"/>
      <c r="J449" s="39"/>
      <c r="K449" s="60">
        <f t="shared" si="2"/>
        <v>0</v>
      </c>
      <c r="L449" s="39"/>
      <c r="M449" s="59">
        <f t="shared" si="3"/>
        <v>0</v>
      </c>
      <c r="N449" s="69">
        <v>100.0</v>
      </c>
      <c r="O449" s="62">
        <f t="shared" si="4"/>
        <v>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4">
        <v>442.0</v>
      </c>
      <c r="C450" s="56" t="s">
        <v>490</v>
      </c>
      <c r="D450" s="67">
        <v>210000.0</v>
      </c>
      <c r="E450" s="56">
        <v>3.0</v>
      </c>
      <c r="F450" s="59">
        <f t="shared" si="6"/>
        <v>630000</v>
      </c>
      <c r="G450" s="56">
        <v>3.0</v>
      </c>
      <c r="H450" s="59">
        <f t="shared" si="1"/>
        <v>630000</v>
      </c>
      <c r="I450" s="39"/>
      <c r="J450" s="39"/>
      <c r="K450" s="60">
        <f t="shared" si="2"/>
        <v>0</v>
      </c>
      <c r="L450" s="39"/>
      <c r="M450" s="59">
        <f t="shared" si="3"/>
        <v>0</v>
      </c>
      <c r="N450" s="69">
        <v>3.0</v>
      </c>
      <c r="O450" s="62">
        <f t="shared" si="4"/>
        <v>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4">
        <v>443.0</v>
      </c>
      <c r="C451" s="56" t="s">
        <v>491</v>
      </c>
      <c r="D451" s="67">
        <v>360000.0</v>
      </c>
      <c r="E451" s="56">
        <v>3.0</v>
      </c>
      <c r="F451" s="59">
        <f t="shared" si="6"/>
        <v>1080000</v>
      </c>
      <c r="G451" s="56">
        <v>3.0</v>
      </c>
      <c r="H451" s="59">
        <f t="shared" si="1"/>
        <v>1080000</v>
      </c>
      <c r="I451" s="39"/>
      <c r="J451" s="39"/>
      <c r="K451" s="60">
        <f t="shared" si="2"/>
        <v>0</v>
      </c>
      <c r="L451" s="39"/>
      <c r="M451" s="59">
        <f t="shared" si="3"/>
        <v>0</v>
      </c>
      <c r="N451" s="69">
        <v>3.0</v>
      </c>
      <c r="O451" s="62">
        <f t="shared" si="4"/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4">
        <v>444.0</v>
      </c>
      <c r="C452" s="56" t="s">
        <v>492</v>
      </c>
      <c r="D452" s="67">
        <v>131081.08</v>
      </c>
      <c r="E452" s="56">
        <v>2.0</v>
      </c>
      <c r="F452" s="59">
        <f t="shared" si="6"/>
        <v>262162.16</v>
      </c>
      <c r="G452" s="56">
        <v>2.0</v>
      </c>
      <c r="H452" s="59">
        <f t="shared" si="1"/>
        <v>262162.16</v>
      </c>
      <c r="I452" s="39"/>
      <c r="J452" s="39"/>
      <c r="K452" s="60">
        <f t="shared" si="2"/>
        <v>0</v>
      </c>
      <c r="L452" s="39"/>
      <c r="M452" s="59">
        <f t="shared" si="3"/>
        <v>0</v>
      </c>
      <c r="N452" s="69">
        <v>2.0</v>
      </c>
      <c r="O452" s="62">
        <f t="shared" si="4"/>
        <v>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4">
        <v>445.0</v>
      </c>
      <c r="C453" s="56" t="s">
        <v>493</v>
      </c>
      <c r="D453" s="67">
        <v>162162.16</v>
      </c>
      <c r="E453" s="56">
        <v>3.0</v>
      </c>
      <c r="F453" s="59">
        <f t="shared" si="6"/>
        <v>486486.48</v>
      </c>
      <c r="G453" s="56">
        <v>3.0</v>
      </c>
      <c r="H453" s="59">
        <f t="shared" si="1"/>
        <v>486486.48</v>
      </c>
      <c r="I453" s="39"/>
      <c r="J453" s="39"/>
      <c r="K453" s="60">
        <f t="shared" si="2"/>
        <v>0</v>
      </c>
      <c r="L453" s="39"/>
      <c r="M453" s="59">
        <f t="shared" si="3"/>
        <v>0</v>
      </c>
      <c r="N453" s="69">
        <v>3.0</v>
      </c>
      <c r="O453" s="62">
        <f t="shared" si="4"/>
        <v>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4">
        <v>446.0</v>
      </c>
      <c r="C454" s="56" t="s">
        <v>494</v>
      </c>
      <c r="D454" s="67">
        <v>378000.0</v>
      </c>
      <c r="E454" s="56">
        <v>1.0</v>
      </c>
      <c r="F454" s="59">
        <f t="shared" si="6"/>
        <v>378000</v>
      </c>
      <c r="G454" s="56">
        <v>1.0</v>
      </c>
      <c r="H454" s="59">
        <f t="shared" si="1"/>
        <v>378000</v>
      </c>
      <c r="I454" s="39"/>
      <c r="J454" s="39"/>
      <c r="K454" s="60">
        <f t="shared" si="2"/>
        <v>0</v>
      </c>
      <c r="L454" s="39"/>
      <c r="M454" s="59">
        <f t="shared" si="3"/>
        <v>0</v>
      </c>
      <c r="N454" s="69">
        <v>1.0</v>
      </c>
      <c r="O454" s="62">
        <f t="shared" si="4"/>
        <v>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4">
        <v>447.0</v>
      </c>
      <c r="C455" s="56" t="s">
        <v>495</v>
      </c>
      <c r="D455" s="67">
        <v>210000.0</v>
      </c>
      <c r="E455" s="56">
        <v>2.0</v>
      </c>
      <c r="F455" s="59">
        <f t="shared" si="6"/>
        <v>420000</v>
      </c>
      <c r="G455" s="56">
        <v>2.0</v>
      </c>
      <c r="H455" s="59">
        <f t="shared" si="1"/>
        <v>420000</v>
      </c>
      <c r="I455" s="39"/>
      <c r="J455" s="39"/>
      <c r="K455" s="60">
        <f t="shared" si="2"/>
        <v>0</v>
      </c>
      <c r="L455" s="39"/>
      <c r="M455" s="59">
        <f t="shared" si="3"/>
        <v>0</v>
      </c>
      <c r="N455" s="69">
        <v>2.0</v>
      </c>
      <c r="O455" s="62">
        <f t="shared" si="4"/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4">
        <v>448.0</v>
      </c>
      <c r="C456" s="56" t="s">
        <v>496</v>
      </c>
      <c r="D456" s="67">
        <v>249480.0</v>
      </c>
      <c r="E456" s="56">
        <v>1.0</v>
      </c>
      <c r="F456" s="59">
        <f t="shared" si="6"/>
        <v>249480</v>
      </c>
      <c r="G456" s="56">
        <v>1.0</v>
      </c>
      <c r="H456" s="59">
        <f t="shared" si="1"/>
        <v>249480</v>
      </c>
      <c r="I456" s="39"/>
      <c r="J456" s="39"/>
      <c r="K456" s="60">
        <f t="shared" si="2"/>
        <v>0</v>
      </c>
      <c r="L456" s="39"/>
      <c r="M456" s="59">
        <f t="shared" si="3"/>
        <v>0</v>
      </c>
      <c r="N456" s="69">
        <v>1.0</v>
      </c>
      <c r="O456" s="62">
        <f t="shared" si="4"/>
        <v>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4">
        <v>449.0</v>
      </c>
      <c r="C457" s="56" t="s">
        <v>497</v>
      </c>
      <c r="D457" s="67">
        <v>127927.93</v>
      </c>
      <c r="E457" s="56">
        <v>13.0</v>
      </c>
      <c r="F457" s="59">
        <f t="shared" si="6"/>
        <v>1663063.09</v>
      </c>
      <c r="G457" s="56">
        <v>13.0</v>
      </c>
      <c r="H457" s="59">
        <f t="shared" si="1"/>
        <v>1663063.09</v>
      </c>
      <c r="I457" s="39"/>
      <c r="J457" s="39"/>
      <c r="K457" s="60">
        <f t="shared" si="2"/>
        <v>0</v>
      </c>
      <c r="L457" s="39"/>
      <c r="M457" s="59">
        <f t="shared" si="3"/>
        <v>0</v>
      </c>
      <c r="N457" s="69">
        <v>13.0</v>
      </c>
      <c r="O457" s="62">
        <f t="shared" si="4"/>
        <v>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4">
        <v>450.0</v>
      </c>
      <c r="C458" s="56" t="s">
        <v>498</v>
      </c>
      <c r="D458" s="67">
        <v>189189.19</v>
      </c>
      <c r="E458" s="56">
        <v>1.0</v>
      </c>
      <c r="F458" s="59">
        <f t="shared" si="6"/>
        <v>189189.19</v>
      </c>
      <c r="G458" s="56">
        <v>1.0</v>
      </c>
      <c r="H458" s="59">
        <f t="shared" si="1"/>
        <v>189189.19</v>
      </c>
      <c r="I458" s="39"/>
      <c r="J458" s="39"/>
      <c r="K458" s="60">
        <f t="shared" si="2"/>
        <v>0</v>
      </c>
      <c r="L458" s="39"/>
      <c r="M458" s="59">
        <f t="shared" si="3"/>
        <v>0</v>
      </c>
      <c r="N458" s="69">
        <v>1.0</v>
      </c>
      <c r="O458" s="62">
        <f t="shared" si="4"/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4">
        <v>451.0</v>
      </c>
      <c r="C459" s="56" t="s">
        <v>499</v>
      </c>
      <c r="D459" s="67">
        <v>127928.0</v>
      </c>
      <c r="E459" s="56">
        <v>3.0</v>
      </c>
      <c r="F459" s="59">
        <f t="shared" si="6"/>
        <v>383784</v>
      </c>
      <c r="G459" s="56">
        <v>3.0</v>
      </c>
      <c r="H459" s="59">
        <f t="shared" si="1"/>
        <v>383784</v>
      </c>
      <c r="I459" s="39"/>
      <c r="J459" s="39"/>
      <c r="K459" s="60">
        <f t="shared" si="2"/>
        <v>0</v>
      </c>
      <c r="L459" s="39"/>
      <c r="M459" s="59">
        <f t="shared" si="3"/>
        <v>0</v>
      </c>
      <c r="N459" s="69">
        <v>3.0</v>
      </c>
      <c r="O459" s="62">
        <f t="shared" si="4"/>
        <v>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4">
        <v>452.0</v>
      </c>
      <c r="C460" s="56" t="s">
        <v>500</v>
      </c>
      <c r="D460" s="67">
        <v>280260.0</v>
      </c>
      <c r="E460" s="56">
        <v>3.0</v>
      </c>
      <c r="F460" s="59">
        <f t="shared" si="6"/>
        <v>840780</v>
      </c>
      <c r="G460" s="56">
        <v>3.0</v>
      </c>
      <c r="H460" s="59">
        <f t="shared" si="1"/>
        <v>840780</v>
      </c>
      <c r="I460" s="39"/>
      <c r="J460" s="39"/>
      <c r="K460" s="60">
        <f t="shared" si="2"/>
        <v>0</v>
      </c>
      <c r="L460" s="39"/>
      <c r="M460" s="59">
        <f t="shared" si="3"/>
        <v>0</v>
      </c>
      <c r="N460" s="69">
        <v>3.0</v>
      </c>
      <c r="O460" s="62">
        <f t="shared" si="4"/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4">
        <v>453.0</v>
      </c>
      <c r="C461" s="56" t="s">
        <v>501</v>
      </c>
      <c r="D461" s="67">
        <v>570000.0</v>
      </c>
      <c r="E461" s="56">
        <v>1.0</v>
      </c>
      <c r="F461" s="59">
        <f t="shared" si="6"/>
        <v>570000</v>
      </c>
      <c r="G461" s="56">
        <v>1.0</v>
      </c>
      <c r="H461" s="59">
        <f t="shared" si="1"/>
        <v>570000</v>
      </c>
      <c r="I461" s="39"/>
      <c r="J461" s="39"/>
      <c r="K461" s="60">
        <f t="shared" si="2"/>
        <v>0</v>
      </c>
      <c r="L461" s="39"/>
      <c r="M461" s="59">
        <f t="shared" si="3"/>
        <v>0</v>
      </c>
      <c r="N461" s="69">
        <v>1.0</v>
      </c>
      <c r="O461" s="62">
        <f t="shared" si="4"/>
        <v>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4">
        <v>454.0</v>
      </c>
      <c r="C462" s="56" t="s">
        <v>502</v>
      </c>
      <c r="D462" s="67">
        <v>180162.16</v>
      </c>
      <c r="E462" s="56">
        <v>4.0</v>
      </c>
      <c r="F462" s="59">
        <f t="shared" si="6"/>
        <v>720648.64</v>
      </c>
      <c r="G462" s="56">
        <v>4.0</v>
      </c>
      <c r="H462" s="59">
        <f t="shared" si="1"/>
        <v>720648.64</v>
      </c>
      <c r="I462" s="39"/>
      <c r="J462" s="39"/>
      <c r="K462" s="60">
        <f t="shared" si="2"/>
        <v>0</v>
      </c>
      <c r="L462" s="39"/>
      <c r="M462" s="59">
        <f t="shared" si="3"/>
        <v>0</v>
      </c>
      <c r="N462" s="69">
        <v>4.0</v>
      </c>
      <c r="O462" s="62">
        <f t="shared" si="4"/>
        <v>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4">
        <v>455.0</v>
      </c>
      <c r="C463" s="56" t="s">
        <v>503</v>
      </c>
      <c r="D463" s="67">
        <v>180162.16</v>
      </c>
      <c r="E463" s="56">
        <v>5.0</v>
      </c>
      <c r="F463" s="59">
        <f t="shared" si="6"/>
        <v>900810.8</v>
      </c>
      <c r="G463" s="56">
        <v>5.0</v>
      </c>
      <c r="H463" s="59">
        <f t="shared" si="1"/>
        <v>900810.8</v>
      </c>
      <c r="I463" s="39"/>
      <c r="J463" s="39"/>
      <c r="K463" s="60">
        <f t="shared" si="2"/>
        <v>0</v>
      </c>
      <c r="L463" s="39"/>
      <c r="M463" s="59">
        <f t="shared" si="3"/>
        <v>0</v>
      </c>
      <c r="N463" s="69">
        <v>5.0</v>
      </c>
      <c r="O463" s="62">
        <f t="shared" si="4"/>
        <v>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4">
        <v>456.0</v>
      </c>
      <c r="C464" s="56" t="s">
        <v>504</v>
      </c>
      <c r="D464" s="67">
        <v>140000.0</v>
      </c>
      <c r="E464" s="56">
        <v>1.0</v>
      </c>
      <c r="F464" s="59">
        <f t="shared" si="6"/>
        <v>140000</v>
      </c>
      <c r="G464" s="56">
        <v>1.0</v>
      </c>
      <c r="H464" s="59">
        <f t="shared" si="1"/>
        <v>140000</v>
      </c>
      <c r="I464" s="39"/>
      <c r="J464" s="39"/>
      <c r="K464" s="60">
        <f t="shared" si="2"/>
        <v>0</v>
      </c>
      <c r="L464" s="39"/>
      <c r="M464" s="59">
        <f t="shared" si="3"/>
        <v>0</v>
      </c>
      <c r="N464" s="69">
        <v>1.0</v>
      </c>
      <c r="O464" s="62">
        <f t="shared" si="4"/>
        <v>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4">
        <v>457.0</v>
      </c>
      <c r="C465" s="56" t="s">
        <v>505</v>
      </c>
      <c r="D465" s="67">
        <v>180162.16</v>
      </c>
      <c r="E465" s="56">
        <v>12.0</v>
      </c>
      <c r="F465" s="59">
        <f t="shared" si="6"/>
        <v>2161945.92</v>
      </c>
      <c r="G465" s="56">
        <v>12.0</v>
      </c>
      <c r="H465" s="59">
        <f t="shared" si="1"/>
        <v>2161945.92</v>
      </c>
      <c r="I465" s="39"/>
      <c r="J465" s="39"/>
      <c r="K465" s="60">
        <f t="shared" si="2"/>
        <v>0</v>
      </c>
      <c r="L465" s="39"/>
      <c r="M465" s="59">
        <f t="shared" si="3"/>
        <v>0</v>
      </c>
      <c r="N465" s="69">
        <v>12.0</v>
      </c>
      <c r="O465" s="62">
        <f t="shared" si="4"/>
        <v>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4">
        <v>458.0</v>
      </c>
      <c r="C466" s="56" t="s">
        <v>506</v>
      </c>
      <c r="D466" s="67">
        <v>180162.16</v>
      </c>
      <c r="E466" s="56">
        <v>1.0</v>
      </c>
      <c r="F466" s="59">
        <f t="shared" si="6"/>
        <v>180162.16</v>
      </c>
      <c r="G466" s="56">
        <v>1.0</v>
      </c>
      <c r="H466" s="59">
        <f t="shared" si="1"/>
        <v>180162.16</v>
      </c>
      <c r="I466" s="39"/>
      <c r="J466" s="39"/>
      <c r="K466" s="60">
        <f t="shared" si="2"/>
        <v>0</v>
      </c>
      <c r="L466" s="39"/>
      <c r="M466" s="59">
        <f t="shared" si="3"/>
        <v>0</v>
      </c>
      <c r="N466" s="69">
        <v>1.0</v>
      </c>
      <c r="O466" s="62">
        <f t="shared" si="4"/>
        <v>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4">
        <v>459.0</v>
      </c>
      <c r="C467" s="56" t="s">
        <v>507</v>
      </c>
      <c r="D467" s="67">
        <v>180162.16</v>
      </c>
      <c r="E467" s="56">
        <v>3.0</v>
      </c>
      <c r="F467" s="59">
        <f t="shared" si="6"/>
        <v>540486.48</v>
      </c>
      <c r="G467" s="56">
        <v>3.0</v>
      </c>
      <c r="H467" s="59">
        <f t="shared" si="1"/>
        <v>540486.48</v>
      </c>
      <c r="I467" s="39"/>
      <c r="J467" s="39"/>
      <c r="K467" s="60">
        <f t="shared" si="2"/>
        <v>0</v>
      </c>
      <c r="L467" s="39"/>
      <c r="M467" s="59">
        <f t="shared" si="3"/>
        <v>0</v>
      </c>
      <c r="N467" s="69">
        <v>3.0</v>
      </c>
      <c r="O467" s="62">
        <f t="shared" si="4"/>
        <v>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4">
        <v>460.0</v>
      </c>
      <c r="C468" s="56" t="s">
        <v>508</v>
      </c>
      <c r="D468" s="67">
        <v>180162.16</v>
      </c>
      <c r="E468" s="56">
        <v>0.0</v>
      </c>
      <c r="F468" s="59">
        <f t="shared" si="6"/>
        <v>0</v>
      </c>
      <c r="G468" s="56">
        <v>0.0</v>
      </c>
      <c r="H468" s="59">
        <f t="shared" si="1"/>
        <v>0</v>
      </c>
      <c r="I468" s="39"/>
      <c r="J468" s="39"/>
      <c r="K468" s="60">
        <f t="shared" si="2"/>
        <v>0</v>
      </c>
      <c r="L468" s="39"/>
      <c r="M468" s="59">
        <f t="shared" si="3"/>
        <v>0</v>
      </c>
      <c r="N468" s="69">
        <v>0.0</v>
      </c>
      <c r="O468" s="62">
        <f t="shared" si="4"/>
        <v>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4">
        <v>461.0</v>
      </c>
      <c r="C469" s="56" t="s">
        <v>509</v>
      </c>
      <c r="D469" s="67">
        <v>135000.0</v>
      </c>
      <c r="E469" s="56">
        <v>15.0</v>
      </c>
      <c r="F469" s="59">
        <f t="shared" si="6"/>
        <v>2025000</v>
      </c>
      <c r="G469" s="56">
        <v>15.0</v>
      </c>
      <c r="H469" s="59">
        <f t="shared" si="1"/>
        <v>2025000</v>
      </c>
      <c r="I469" s="39"/>
      <c r="J469" s="39"/>
      <c r="K469" s="60">
        <f t="shared" si="2"/>
        <v>0</v>
      </c>
      <c r="L469" s="39"/>
      <c r="M469" s="59">
        <f t="shared" si="3"/>
        <v>0</v>
      </c>
      <c r="N469" s="69">
        <v>15.0</v>
      </c>
      <c r="O469" s="62">
        <f t="shared" si="4"/>
        <v>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4">
        <v>462.0</v>
      </c>
      <c r="C470" s="56" t="s">
        <v>510</v>
      </c>
      <c r="D470" s="67">
        <v>202702.7</v>
      </c>
      <c r="E470" s="56">
        <v>2.0</v>
      </c>
      <c r="F470" s="59">
        <f t="shared" si="6"/>
        <v>405405.4</v>
      </c>
      <c r="G470" s="56">
        <v>2.0</v>
      </c>
      <c r="H470" s="59">
        <f t="shared" si="1"/>
        <v>405405.4</v>
      </c>
      <c r="I470" s="39"/>
      <c r="J470" s="39"/>
      <c r="K470" s="60">
        <f t="shared" si="2"/>
        <v>0</v>
      </c>
      <c r="L470" s="39"/>
      <c r="M470" s="59">
        <f t="shared" si="3"/>
        <v>0</v>
      </c>
      <c r="N470" s="69">
        <v>2.0</v>
      </c>
      <c r="O470" s="62">
        <f t="shared" si="4"/>
        <v>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4">
        <v>463.0</v>
      </c>
      <c r="C471" s="56" t="s">
        <v>511</v>
      </c>
      <c r="D471" s="67">
        <v>180162.16</v>
      </c>
      <c r="E471" s="56">
        <v>1.0</v>
      </c>
      <c r="F471" s="59">
        <f t="shared" si="6"/>
        <v>180162.16</v>
      </c>
      <c r="G471" s="56">
        <v>1.0</v>
      </c>
      <c r="H471" s="59">
        <f t="shared" si="1"/>
        <v>180162.16</v>
      </c>
      <c r="I471" s="39"/>
      <c r="J471" s="39"/>
      <c r="K471" s="60">
        <f t="shared" si="2"/>
        <v>0</v>
      </c>
      <c r="L471" s="39"/>
      <c r="M471" s="59">
        <f t="shared" si="3"/>
        <v>0</v>
      </c>
      <c r="N471" s="69">
        <v>1.0</v>
      </c>
      <c r="O471" s="62">
        <f t="shared" si="4"/>
        <v>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4">
        <v>464.0</v>
      </c>
      <c r="C472" s="56" t="s">
        <v>512</v>
      </c>
      <c r="D472" s="67">
        <v>189189.19</v>
      </c>
      <c r="E472" s="56">
        <v>1.0</v>
      </c>
      <c r="F472" s="59">
        <f t="shared" si="6"/>
        <v>189189.19</v>
      </c>
      <c r="G472" s="56">
        <v>1.0</v>
      </c>
      <c r="H472" s="59">
        <f t="shared" si="1"/>
        <v>189189.19</v>
      </c>
      <c r="I472" s="39"/>
      <c r="J472" s="39"/>
      <c r="K472" s="60">
        <f t="shared" si="2"/>
        <v>0</v>
      </c>
      <c r="L472" s="39"/>
      <c r="M472" s="59">
        <f t="shared" si="3"/>
        <v>0</v>
      </c>
      <c r="N472" s="69">
        <v>1.0</v>
      </c>
      <c r="O472" s="62">
        <f t="shared" si="4"/>
        <v>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4">
        <v>465.0</v>
      </c>
      <c r="C473" s="56" t="s">
        <v>513</v>
      </c>
      <c r="D473" s="67">
        <v>220000.0</v>
      </c>
      <c r="E473" s="56">
        <v>0.0</v>
      </c>
      <c r="F473" s="59">
        <f t="shared" si="6"/>
        <v>0</v>
      </c>
      <c r="G473" s="56">
        <v>0.0</v>
      </c>
      <c r="H473" s="59">
        <f t="shared" si="1"/>
        <v>0</v>
      </c>
      <c r="I473" s="39"/>
      <c r="J473" s="39"/>
      <c r="K473" s="60">
        <f t="shared" si="2"/>
        <v>0</v>
      </c>
      <c r="L473" s="39"/>
      <c r="M473" s="59">
        <f t="shared" si="3"/>
        <v>0</v>
      </c>
      <c r="N473" s="69">
        <v>0.0</v>
      </c>
      <c r="O473" s="62">
        <f t="shared" si="4"/>
        <v>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4">
        <v>466.0</v>
      </c>
      <c r="C474" s="56" t="s">
        <v>514</v>
      </c>
      <c r="D474" s="67">
        <v>162162.16</v>
      </c>
      <c r="E474" s="56">
        <v>48.0</v>
      </c>
      <c r="F474" s="59">
        <f t="shared" si="6"/>
        <v>7783783.68</v>
      </c>
      <c r="G474" s="56">
        <v>48.0</v>
      </c>
      <c r="H474" s="59">
        <f t="shared" si="1"/>
        <v>7783783.68</v>
      </c>
      <c r="I474" s="39"/>
      <c r="J474" s="39"/>
      <c r="K474" s="60">
        <f t="shared" si="2"/>
        <v>0</v>
      </c>
      <c r="L474" s="39"/>
      <c r="M474" s="59">
        <f t="shared" si="3"/>
        <v>0</v>
      </c>
      <c r="N474" s="69">
        <v>48.0</v>
      </c>
      <c r="O474" s="62">
        <f t="shared" si="4"/>
        <v>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4">
        <v>467.0</v>
      </c>
      <c r="C475" s="56" t="s">
        <v>515</v>
      </c>
      <c r="D475" s="67">
        <v>410000.0</v>
      </c>
      <c r="E475" s="56">
        <v>20.0</v>
      </c>
      <c r="F475" s="59">
        <f t="shared" si="6"/>
        <v>8200000</v>
      </c>
      <c r="G475" s="56">
        <v>20.0</v>
      </c>
      <c r="H475" s="59">
        <f t="shared" si="1"/>
        <v>8200000</v>
      </c>
      <c r="I475" s="39"/>
      <c r="J475" s="39"/>
      <c r="K475" s="60">
        <f t="shared" si="2"/>
        <v>0</v>
      </c>
      <c r="L475" s="39"/>
      <c r="M475" s="59">
        <f t="shared" si="3"/>
        <v>0</v>
      </c>
      <c r="N475" s="69">
        <v>20.0</v>
      </c>
      <c r="O475" s="62">
        <f t="shared" si="4"/>
        <v>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4">
        <v>468.0</v>
      </c>
      <c r="C476" s="56" t="s">
        <v>516</v>
      </c>
      <c r="D476" s="67">
        <v>320000.0</v>
      </c>
      <c r="E476" s="56">
        <v>5.0</v>
      </c>
      <c r="F476" s="59">
        <f t="shared" si="6"/>
        <v>1600000</v>
      </c>
      <c r="G476" s="56">
        <v>5.0</v>
      </c>
      <c r="H476" s="59">
        <f t="shared" si="1"/>
        <v>1600000</v>
      </c>
      <c r="I476" s="39"/>
      <c r="J476" s="39"/>
      <c r="K476" s="60">
        <f t="shared" si="2"/>
        <v>0</v>
      </c>
      <c r="L476" s="39"/>
      <c r="M476" s="59">
        <f t="shared" si="3"/>
        <v>0</v>
      </c>
      <c r="N476" s="69">
        <v>5.0</v>
      </c>
      <c r="O476" s="62">
        <f t="shared" si="4"/>
        <v>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4">
        <v>469.0</v>
      </c>
      <c r="C477" s="56" t="s">
        <v>517</v>
      </c>
      <c r="D477" s="67">
        <v>189189.19</v>
      </c>
      <c r="E477" s="56">
        <v>13.0</v>
      </c>
      <c r="F477" s="59">
        <f t="shared" si="6"/>
        <v>2459459.47</v>
      </c>
      <c r="G477" s="56">
        <v>13.0</v>
      </c>
      <c r="H477" s="59">
        <f t="shared" si="1"/>
        <v>2459459.47</v>
      </c>
      <c r="I477" s="39"/>
      <c r="J477" s="39"/>
      <c r="K477" s="60">
        <f t="shared" si="2"/>
        <v>0</v>
      </c>
      <c r="L477" s="39"/>
      <c r="M477" s="59">
        <f t="shared" si="3"/>
        <v>0</v>
      </c>
      <c r="N477" s="69">
        <v>13.0</v>
      </c>
      <c r="O477" s="62">
        <f t="shared" si="4"/>
        <v>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4">
        <v>470.0</v>
      </c>
      <c r="C478" s="56" t="s">
        <v>518</v>
      </c>
      <c r="D478" s="67">
        <v>225225.23</v>
      </c>
      <c r="E478" s="56">
        <v>5.0</v>
      </c>
      <c r="F478" s="59">
        <f t="shared" si="6"/>
        <v>1126126.15</v>
      </c>
      <c r="G478" s="56">
        <v>5.0</v>
      </c>
      <c r="H478" s="59">
        <f t="shared" si="1"/>
        <v>1126126.15</v>
      </c>
      <c r="I478" s="39"/>
      <c r="J478" s="39"/>
      <c r="K478" s="60">
        <f t="shared" si="2"/>
        <v>0</v>
      </c>
      <c r="L478" s="39"/>
      <c r="M478" s="59">
        <f t="shared" si="3"/>
        <v>0</v>
      </c>
      <c r="N478" s="69">
        <v>5.0</v>
      </c>
      <c r="O478" s="62">
        <f t="shared" si="4"/>
        <v>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4">
        <v>471.0</v>
      </c>
      <c r="C479" s="56" t="s">
        <v>519</v>
      </c>
      <c r="D479" s="67">
        <v>178500.0</v>
      </c>
      <c r="E479" s="56">
        <v>96.0</v>
      </c>
      <c r="F479" s="59">
        <f t="shared" si="6"/>
        <v>17136000</v>
      </c>
      <c r="G479" s="56">
        <v>96.0</v>
      </c>
      <c r="H479" s="59">
        <f t="shared" si="1"/>
        <v>17136000</v>
      </c>
      <c r="I479" s="39"/>
      <c r="J479" s="39"/>
      <c r="K479" s="60">
        <f t="shared" si="2"/>
        <v>0</v>
      </c>
      <c r="L479" s="39"/>
      <c r="M479" s="59">
        <f t="shared" si="3"/>
        <v>0</v>
      </c>
      <c r="N479" s="69">
        <v>96.0</v>
      </c>
      <c r="O479" s="62">
        <f t="shared" si="4"/>
        <v>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4">
        <v>472.0</v>
      </c>
      <c r="C480" s="56" t="s">
        <v>520</v>
      </c>
      <c r="D480" s="67">
        <v>240000.0</v>
      </c>
      <c r="E480" s="56">
        <v>19.0</v>
      </c>
      <c r="F480" s="59">
        <f t="shared" si="6"/>
        <v>4560000</v>
      </c>
      <c r="G480" s="56">
        <v>19.0</v>
      </c>
      <c r="H480" s="59">
        <f t="shared" si="1"/>
        <v>4560000</v>
      </c>
      <c r="I480" s="39"/>
      <c r="J480" s="39"/>
      <c r="K480" s="60">
        <f t="shared" si="2"/>
        <v>0</v>
      </c>
      <c r="L480" s="39"/>
      <c r="M480" s="59">
        <f t="shared" si="3"/>
        <v>0</v>
      </c>
      <c r="N480" s="69">
        <v>19.0</v>
      </c>
      <c r="O480" s="62">
        <f t="shared" si="4"/>
        <v>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4">
        <v>473.0</v>
      </c>
      <c r="C481" s="56" t="s">
        <v>521</v>
      </c>
      <c r="D481" s="67">
        <v>252300.0</v>
      </c>
      <c r="E481" s="56">
        <v>20.0</v>
      </c>
      <c r="F481" s="59">
        <f t="shared" si="6"/>
        <v>5046000</v>
      </c>
      <c r="G481" s="56">
        <v>20.0</v>
      </c>
      <c r="H481" s="59">
        <f t="shared" si="1"/>
        <v>5046000</v>
      </c>
      <c r="I481" s="39"/>
      <c r="J481" s="39"/>
      <c r="K481" s="60">
        <f t="shared" si="2"/>
        <v>0</v>
      </c>
      <c r="L481" s="39"/>
      <c r="M481" s="59">
        <f t="shared" si="3"/>
        <v>0</v>
      </c>
      <c r="N481" s="69">
        <v>20.0</v>
      </c>
      <c r="O481" s="62">
        <f t="shared" si="4"/>
        <v>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4">
        <v>474.0</v>
      </c>
      <c r="C482" s="56" t="s">
        <v>522</v>
      </c>
      <c r="D482" s="67">
        <v>280000.0</v>
      </c>
      <c r="E482" s="56">
        <v>5.0</v>
      </c>
      <c r="F482" s="59">
        <f t="shared" si="6"/>
        <v>1400000</v>
      </c>
      <c r="G482" s="56">
        <v>5.0</v>
      </c>
      <c r="H482" s="59">
        <f t="shared" si="1"/>
        <v>1400000</v>
      </c>
      <c r="I482" s="39"/>
      <c r="J482" s="39"/>
      <c r="K482" s="60">
        <f t="shared" si="2"/>
        <v>0</v>
      </c>
      <c r="L482" s="39"/>
      <c r="M482" s="59">
        <f t="shared" si="3"/>
        <v>0</v>
      </c>
      <c r="N482" s="69">
        <v>5.0</v>
      </c>
      <c r="O482" s="62">
        <f t="shared" si="4"/>
        <v>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4">
        <v>475.0</v>
      </c>
      <c r="C483" s="56" t="s">
        <v>523</v>
      </c>
      <c r="D483" s="67">
        <v>210000.0</v>
      </c>
      <c r="E483" s="56">
        <v>2.0</v>
      </c>
      <c r="F483" s="59">
        <f t="shared" si="6"/>
        <v>420000</v>
      </c>
      <c r="G483" s="56">
        <v>2.0</v>
      </c>
      <c r="H483" s="59">
        <f t="shared" si="1"/>
        <v>420000</v>
      </c>
      <c r="I483" s="39"/>
      <c r="J483" s="39"/>
      <c r="K483" s="60">
        <f t="shared" si="2"/>
        <v>0</v>
      </c>
      <c r="L483" s="39"/>
      <c r="M483" s="59">
        <f t="shared" si="3"/>
        <v>0</v>
      </c>
      <c r="N483" s="69">
        <v>2.0</v>
      </c>
      <c r="O483" s="62">
        <f t="shared" si="4"/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4">
        <v>476.0</v>
      </c>
      <c r="C484" s="56" t="s">
        <v>524</v>
      </c>
      <c r="D484" s="67">
        <v>131081.08</v>
      </c>
      <c r="E484" s="56">
        <v>7.0</v>
      </c>
      <c r="F484" s="59">
        <f t="shared" si="6"/>
        <v>917567.56</v>
      </c>
      <c r="G484" s="56">
        <v>7.0</v>
      </c>
      <c r="H484" s="59">
        <f t="shared" si="1"/>
        <v>917567.56</v>
      </c>
      <c r="I484" s="39"/>
      <c r="J484" s="39"/>
      <c r="K484" s="60">
        <f t="shared" si="2"/>
        <v>0</v>
      </c>
      <c r="L484" s="39"/>
      <c r="M484" s="59">
        <f t="shared" si="3"/>
        <v>0</v>
      </c>
      <c r="N484" s="69">
        <v>7.0</v>
      </c>
      <c r="O484" s="62">
        <f t="shared" si="4"/>
        <v>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4">
        <v>477.0</v>
      </c>
      <c r="C485" s="56" t="s">
        <v>525</v>
      </c>
      <c r="D485" s="67">
        <v>172072.07</v>
      </c>
      <c r="E485" s="56">
        <v>25.0</v>
      </c>
      <c r="F485" s="59">
        <f t="shared" si="6"/>
        <v>4301801.75</v>
      </c>
      <c r="G485" s="56">
        <v>25.0</v>
      </c>
      <c r="H485" s="59">
        <f t="shared" si="1"/>
        <v>4301801.75</v>
      </c>
      <c r="I485" s="39"/>
      <c r="J485" s="39"/>
      <c r="K485" s="60">
        <f t="shared" si="2"/>
        <v>0</v>
      </c>
      <c r="L485" s="39"/>
      <c r="M485" s="59">
        <f t="shared" si="3"/>
        <v>0</v>
      </c>
      <c r="N485" s="69">
        <v>25.0</v>
      </c>
      <c r="O485" s="62">
        <f t="shared" si="4"/>
        <v>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4">
        <v>478.0</v>
      </c>
      <c r="C486" s="56" t="s">
        <v>526</v>
      </c>
      <c r="D486" s="67">
        <v>210000.0</v>
      </c>
      <c r="E486" s="56">
        <v>41.0</v>
      </c>
      <c r="F486" s="59">
        <f t="shared" si="6"/>
        <v>8610000</v>
      </c>
      <c r="G486" s="56">
        <v>41.0</v>
      </c>
      <c r="H486" s="59">
        <f t="shared" si="1"/>
        <v>8610000</v>
      </c>
      <c r="I486" s="39"/>
      <c r="J486" s="39"/>
      <c r="K486" s="60">
        <f t="shared" si="2"/>
        <v>0</v>
      </c>
      <c r="L486" s="39"/>
      <c r="M486" s="59">
        <f t="shared" si="3"/>
        <v>0</v>
      </c>
      <c r="N486" s="69">
        <v>41.0</v>
      </c>
      <c r="O486" s="62">
        <f t="shared" si="4"/>
        <v>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4">
        <v>479.0</v>
      </c>
      <c r="C487" s="56" t="s">
        <v>527</v>
      </c>
      <c r="D487" s="67">
        <v>249480.0</v>
      </c>
      <c r="E487" s="56">
        <v>5.0</v>
      </c>
      <c r="F487" s="59">
        <f t="shared" si="6"/>
        <v>1247400</v>
      </c>
      <c r="G487" s="56">
        <v>5.0</v>
      </c>
      <c r="H487" s="59">
        <f t="shared" si="1"/>
        <v>1247400</v>
      </c>
      <c r="I487" s="39"/>
      <c r="J487" s="39"/>
      <c r="K487" s="60">
        <f t="shared" si="2"/>
        <v>0</v>
      </c>
      <c r="L487" s="39"/>
      <c r="M487" s="59">
        <f t="shared" si="3"/>
        <v>0</v>
      </c>
      <c r="N487" s="69">
        <v>5.0</v>
      </c>
      <c r="O487" s="62">
        <f t="shared" si="4"/>
        <v>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4">
        <v>480.0</v>
      </c>
      <c r="C488" s="56" t="s">
        <v>528</v>
      </c>
      <c r="D488" s="67">
        <v>261261.26</v>
      </c>
      <c r="E488" s="56">
        <v>2.0</v>
      </c>
      <c r="F488" s="59">
        <f t="shared" si="6"/>
        <v>522522.52</v>
      </c>
      <c r="G488" s="56">
        <v>2.0</v>
      </c>
      <c r="H488" s="59">
        <f t="shared" si="1"/>
        <v>522522.52</v>
      </c>
      <c r="I488" s="39"/>
      <c r="J488" s="39"/>
      <c r="K488" s="60">
        <f t="shared" si="2"/>
        <v>0</v>
      </c>
      <c r="L488" s="39"/>
      <c r="M488" s="59">
        <f t="shared" si="3"/>
        <v>0</v>
      </c>
      <c r="N488" s="69">
        <v>2.0</v>
      </c>
      <c r="O488" s="62">
        <f t="shared" si="4"/>
        <v>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4">
        <v>481.0</v>
      </c>
      <c r="C489" s="56" t="s">
        <v>529</v>
      </c>
      <c r="D489" s="67">
        <v>261261.26</v>
      </c>
      <c r="E489" s="56">
        <v>8.0</v>
      </c>
      <c r="F489" s="59">
        <f t="shared" si="6"/>
        <v>2090090.08</v>
      </c>
      <c r="G489" s="56">
        <v>8.0</v>
      </c>
      <c r="H489" s="59">
        <f t="shared" si="1"/>
        <v>2090090.08</v>
      </c>
      <c r="I489" s="39"/>
      <c r="J489" s="39"/>
      <c r="K489" s="60">
        <f t="shared" si="2"/>
        <v>0</v>
      </c>
      <c r="L489" s="39"/>
      <c r="M489" s="59">
        <f t="shared" si="3"/>
        <v>0</v>
      </c>
      <c r="N489" s="69">
        <v>8.0</v>
      </c>
      <c r="O489" s="62">
        <f t="shared" si="4"/>
        <v>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4">
        <v>482.0</v>
      </c>
      <c r="C490" s="56" t="s">
        <v>530</v>
      </c>
      <c r="D490" s="67">
        <v>231000.0</v>
      </c>
      <c r="E490" s="56">
        <v>6.0</v>
      </c>
      <c r="F490" s="59">
        <f t="shared" si="6"/>
        <v>1386000</v>
      </c>
      <c r="G490" s="56">
        <v>6.0</v>
      </c>
      <c r="H490" s="59">
        <f t="shared" si="1"/>
        <v>1386000</v>
      </c>
      <c r="I490" s="39"/>
      <c r="J490" s="39"/>
      <c r="K490" s="60">
        <f t="shared" si="2"/>
        <v>0</v>
      </c>
      <c r="L490" s="39"/>
      <c r="M490" s="59">
        <f t="shared" si="3"/>
        <v>0</v>
      </c>
      <c r="N490" s="69">
        <v>6.0</v>
      </c>
      <c r="O490" s="62">
        <f t="shared" si="4"/>
        <v>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4">
        <v>483.0</v>
      </c>
      <c r="C491" s="56" t="s">
        <v>531</v>
      </c>
      <c r="D491" s="67">
        <v>270000.0</v>
      </c>
      <c r="E491" s="56">
        <v>0.0</v>
      </c>
      <c r="F491" s="59">
        <f t="shared" si="6"/>
        <v>0</v>
      </c>
      <c r="G491" s="56">
        <v>0.0</v>
      </c>
      <c r="H491" s="59">
        <f t="shared" si="1"/>
        <v>0</v>
      </c>
      <c r="I491" s="39"/>
      <c r="J491" s="39"/>
      <c r="K491" s="60">
        <f t="shared" si="2"/>
        <v>0</v>
      </c>
      <c r="L491" s="39"/>
      <c r="M491" s="59">
        <f t="shared" si="3"/>
        <v>0</v>
      </c>
      <c r="N491" s="69">
        <v>0.0</v>
      </c>
      <c r="O491" s="62">
        <f t="shared" si="4"/>
        <v>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4">
        <v>484.0</v>
      </c>
      <c r="C492" s="56" t="s">
        <v>532</v>
      </c>
      <c r="D492" s="67">
        <v>378000.0</v>
      </c>
      <c r="E492" s="56">
        <v>10.0</v>
      </c>
      <c r="F492" s="59">
        <f t="shared" si="6"/>
        <v>3780000</v>
      </c>
      <c r="G492" s="56">
        <v>10.0</v>
      </c>
      <c r="H492" s="59">
        <f t="shared" si="1"/>
        <v>3780000</v>
      </c>
      <c r="I492" s="39"/>
      <c r="J492" s="39"/>
      <c r="K492" s="60">
        <f t="shared" si="2"/>
        <v>0</v>
      </c>
      <c r="L492" s="39"/>
      <c r="M492" s="59">
        <f t="shared" si="3"/>
        <v>0</v>
      </c>
      <c r="N492" s="69">
        <v>10.0</v>
      </c>
      <c r="O492" s="62">
        <f t="shared" si="4"/>
        <v>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4">
        <v>485.0</v>
      </c>
      <c r="C493" s="56" t="s">
        <v>533</v>
      </c>
      <c r="D493" s="67">
        <v>290000.0</v>
      </c>
      <c r="E493" s="56">
        <v>5.0</v>
      </c>
      <c r="F493" s="59">
        <f t="shared" si="6"/>
        <v>1450000</v>
      </c>
      <c r="G493" s="56">
        <v>5.0</v>
      </c>
      <c r="H493" s="59">
        <f t="shared" si="1"/>
        <v>1450000</v>
      </c>
      <c r="I493" s="39"/>
      <c r="J493" s="39"/>
      <c r="K493" s="60">
        <f t="shared" si="2"/>
        <v>0</v>
      </c>
      <c r="L493" s="39"/>
      <c r="M493" s="59">
        <f t="shared" si="3"/>
        <v>0</v>
      </c>
      <c r="N493" s="69">
        <v>5.0</v>
      </c>
      <c r="O493" s="62">
        <f t="shared" si="4"/>
        <v>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4">
        <v>486.0</v>
      </c>
      <c r="C494" s="56" t="s">
        <v>534</v>
      </c>
      <c r="D494" s="67">
        <v>157657.66</v>
      </c>
      <c r="E494" s="56">
        <v>6.0</v>
      </c>
      <c r="F494" s="59">
        <f t="shared" si="6"/>
        <v>945945.96</v>
      </c>
      <c r="G494" s="56">
        <v>6.0</v>
      </c>
      <c r="H494" s="59">
        <f t="shared" si="1"/>
        <v>945945.96</v>
      </c>
      <c r="I494" s="39"/>
      <c r="J494" s="39"/>
      <c r="K494" s="60">
        <f t="shared" si="2"/>
        <v>0</v>
      </c>
      <c r="L494" s="39"/>
      <c r="M494" s="59">
        <f t="shared" si="3"/>
        <v>0</v>
      </c>
      <c r="N494" s="69">
        <v>6.0</v>
      </c>
      <c r="O494" s="62">
        <f t="shared" si="4"/>
        <v>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4">
        <v>487.0</v>
      </c>
      <c r="C495" s="56" t="s">
        <v>535</v>
      </c>
      <c r="D495" s="67">
        <v>131081.08</v>
      </c>
      <c r="E495" s="56">
        <v>3.0</v>
      </c>
      <c r="F495" s="59">
        <f t="shared" si="6"/>
        <v>393243.24</v>
      </c>
      <c r="G495" s="56">
        <v>3.0</v>
      </c>
      <c r="H495" s="59">
        <f t="shared" si="1"/>
        <v>393243.24</v>
      </c>
      <c r="I495" s="39"/>
      <c r="J495" s="39"/>
      <c r="K495" s="60">
        <f t="shared" si="2"/>
        <v>0</v>
      </c>
      <c r="L495" s="39"/>
      <c r="M495" s="59">
        <f t="shared" si="3"/>
        <v>0</v>
      </c>
      <c r="N495" s="69">
        <v>3.0</v>
      </c>
      <c r="O495" s="62">
        <f t="shared" si="4"/>
        <v>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4">
        <v>488.0</v>
      </c>
      <c r="C496" s="56" t="s">
        <v>536</v>
      </c>
      <c r="D496" s="67">
        <v>228800.0</v>
      </c>
      <c r="E496" s="56">
        <v>11.0</v>
      </c>
      <c r="F496" s="59">
        <f t="shared" si="6"/>
        <v>2516800</v>
      </c>
      <c r="G496" s="56">
        <v>11.0</v>
      </c>
      <c r="H496" s="59">
        <f t="shared" si="1"/>
        <v>2516800</v>
      </c>
      <c r="I496" s="39"/>
      <c r="J496" s="39"/>
      <c r="K496" s="60">
        <f t="shared" si="2"/>
        <v>0</v>
      </c>
      <c r="L496" s="39"/>
      <c r="M496" s="59">
        <f t="shared" si="3"/>
        <v>0</v>
      </c>
      <c r="N496" s="69">
        <v>11.0</v>
      </c>
      <c r="O496" s="62">
        <f t="shared" si="4"/>
        <v>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4">
        <v>489.0</v>
      </c>
      <c r="C497" s="56" t="s">
        <v>537</v>
      </c>
      <c r="D497" s="67">
        <v>138689.19</v>
      </c>
      <c r="E497" s="56">
        <v>13.0</v>
      </c>
      <c r="F497" s="59">
        <f t="shared" si="6"/>
        <v>1802959.47</v>
      </c>
      <c r="G497" s="56">
        <v>13.0</v>
      </c>
      <c r="H497" s="59">
        <f t="shared" si="1"/>
        <v>1802959.47</v>
      </c>
      <c r="I497" s="39"/>
      <c r="J497" s="39"/>
      <c r="K497" s="60">
        <f t="shared" si="2"/>
        <v>0</v>
      </c>
      <c r="L497" s="39"/>
      <c r="M497" s="59">
        <f t="shared" si="3"/>
        <v>0</v>
      </c>
      <c r="N497" s="69">
        <v>13.0</v>
      </c>
      <c r="O497" s="62">
        <f t="shared" si="4"/>
        <v>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4">
        <v>490.0</v>
      </c>
      <c r="C498" s="56" t="s">
        <v>538</v>
      </c>
      <c r="D498" s="67">
        <v>162162.16</v>
      </c>
      <c r="E498" s="56">
        <v>25.0</v>
      </c>
      <c r="F498" s="59">
        <f t="shared" si="6"/>
        <v>4054054</v>
      </c>
      <c r="G498" s="56">
        <v>25.0</v>
      </c>
      <c r="H498" s="59">
        <f t="shared" si="1"/>
        <v>4054054</v>
      </c>
      <c r="I498" s="39"/>
      <c r="J498" s="39"/>
      <c r="K498" s="60">
        <f t="shared" si="2"/>
        <v>0</v>
      </c>
      <c r="L498" s="39"/>
      <c r="M498" s="59">
        <f t="shared" si="3"/>
        <v>0</v>
      </c>
      <c r="N498" s="69">
        <v>25.0</v>
      </c>
      <c r="O498" s="62">
        <f t="shared" si="4"/>
        <v>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4">
        <v>491.0</v>
      </c>
      <c r="C499" s="56" t="s">
        <v>539</v>
      </c>
      <c r="D499" s="67">
        <v>157657.66</v>
      </c>
      <c r="E499" s="56">
        <v>34.0</v>
      </c>
      <c r="F499" s="59">
        <f t="shared" si="6"/>
        <v>5360360.44</v>
      </c>
      <c r="G499" s="56">
        <v>34.0</v>
      </c>
      <c r="H499" s="59">
        <f t="shared" si="1"/>
        <v>5360360.44</v>
      </c>
      <c r="I499" s="39"/>
      <c r="J499" s="39"/>
      <c r="K499" s="60">
        <f t="shared" si="2"/>
        <v>0</v>
      </c>
      <c r="L499" s="39"/>
      <c r="M499" s="59">
        <f t="shared" si="3"/>
        <v>0</v>
      </c>
      <c r="N499" s="69">
        <v>34.0</v>
      </c>
      <c r="O499" s="62">
        <f t="shared" si="4"/>
        <v>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4">
        <v>492.0</v>
      </c>
      <c r="C500" s="56" t="s">
        <v>540</v>
      </c>
      <c r="D500" s="67">
        <v>297900.0</v>
      </c>
      <c r="E500" s="56">
        <v>76.0</v>
      </c>
      <c r="F500" s="59">
        <f t="shared" si="6"/>
        <v>22640400</v>
      </c>
      <c r="G500" s="56">
        <v>76.0</v>
      </c>
      <c r="H500" s="59">
        <f t="shared" si="1"/>
        <v>22640400</v>
      </c>
      <c r="I500" s="39"/>
      <c r="J500" s="39"/>
      <c r="K500" s="60">
        <f t="shared" si="2"/>
        <v>0</v>
      </c>
      <c r="L500" s="39"/>
      <c r="M500" s="59">
        <f t="shared" si="3"/>
        <v>0</v>
      </c>
      <c r="N500" s="69">
        <v>76.0</v>
      </c>
      <c r="O500" s="62">
        <f t="shared" si="4"/>
        <v>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4">
        <v>493.0</v>
      </c>
      <c r="C501" s="56" t="s">
        <v>541</v>
      </c>
      <c r="D501" s="67">
        <v>252300.0</v>
      </c>
      <c r="E501" s="56">
        <v>124.0</v>
      </c>
      <c r="F501" s="59">
        <f t="shared" si="6"/>
        <v>31285200</v>
      </c>
      <c r="G501" s="56">
        <v>124.0</v>
      </c>
      <c r="H501" s="59">
        <f t="shared" si="1"/>
        <v>31285200</v>
      </c>
      <c r="I501" s="39"/>
      <c r="J501" s="39"/>
      <c r="K501" s="60">
        <f t="shared" si="2"/>
        <v>0</v>
      </c>
      <c r="L501" s="39"/>
      <c r="M501" s="59">
        <f t="shared" si="3"/>
        <v>0</v>
      </c>
      <c r="N501" s="69">
        <v>124.0</v>
      </c>
      <c r="O501" s="62">
        <f t="shared" si="4"/>
        <v>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4">
        <v>494.0</v>
      </c>
      <c r="C502" s="56" t="s">
        <v>542</v>
      </c>
      <c r="D502" s="67">
        <v>167994.59</v>
      </c>
      <c r="E502" s="56">
        <v>27.0</v>
      </c>
      <c r="F502" s="59">
        <f t="shared" si="6"/>
        <v>4535853.93</v>
      </c>
      <c r="G502" s="56">
        <v>27.0</v>
      </c>
      <c r="H502" s="59">
        <f t="shared" si="1"/>
        <v>4535853.93</v>
      </c>
      <c r="I502" s="39"/>
      <c r="J502" s="39"/>
      <c r="K502" s="60">
        <f t="shared" si="2"/>
        <v>0</v>
      </c>
      <c r="L502" s="39"/>
      <c r="M502" s="59">
        <f t="shared" si="3"/>
        <v>0</v>
      </c>
      <c r="N502" s="69">
        <v>27.0</v>
      </c>
      <c r="O502" s="62">
        <f t="shared" si="4"/>
        <v>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4">
        <v>495.0</v>
      </c>
      <c r="C503" s="56" t="s">
        <v>543</v>
      </c>
      <c r="D503" s="67">
        <v>231000.0</v>
      </c>
      <c r="E503" s="56">
        <v>183.0</v>
      </c>
      <c r="F503" s="59">
        <f t="shared" si="6"/>
        <v>42273000</v>
      </c>
      <c r="G503" s="56">
        <v>183.0</v>
      </c>
      <c r="H503" s="59">
        <f t="shared" si="1"/>
        <v>42273000</v>
      </c>
      <c r="I503" s="39"/>
      <c r="J503" s="39"/>
      <c r="K503" s="60">
        <f t="shared" si="2"/>
        <v>0</v>
      </c>
      <c r="L503" s="39"/>
      <c r="M503" s="59">
        <f t="shared" si="3"/>
        <v>0</v>
      </c>
      <c r="N503" s="69">
        <v>183.0</v>
      </c>
      <c r="O503" s="62">
        <f t="shared" si="4"/>
        <v>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4">
        <v>496.0</v>
      </c>
      <c r="C504" s="56" t="s">
        <v>544</v>
      </c>
      <c r="D504" s="67">
        <v>172072.07</v>
      </c>
      <c r="E504" s="56">
        <v>5.0</v>
      </c>
      <c r="F504" s="59">
        <f t="shared" si="6"/>
        <v>860360.35</v>
      </c>
      <c r="G504" s="56">
        <v>5.0</v>
      </c>
      <c r="H504" s="59">
        <f t="shared" si="1"/>
        <v>860360.35</v>
      </c>
      <c r="I504" s="39"/>
      <c r="J504" s="39"/>
      <c r="K504" s="60">
        <f t="shared" si="2"/>
        <v>0</v>
      </c>
      <c r="L504" s="39"/>
      <c r="M504" s="59">
        <f t="shared" si="3"/>
        <v>0</v>
      </c>
      <c r="N504" s="69">
        <v>5.0</v>
      </c>
      <c r="O504" s="62">
        <f t="shared" si="4"/>
        <v>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4">
        <v>497.0</v>
      </c>
      <c r="C505" s="56" t="s">
        <v>545</v>
      </c>
      <c r="D505" s="67">
        <v>254054.05</v>
      </c>
      <c r="E505" s="56">
        <v>6.0</v>
      </c>
      <c r="F505" s="59">
        <f t="shared" si="6"/>
        <v>1524324.3</v>
      </c>
      <c r="G505" s="56">
        <v>6.0</v>
      </c>
      <c r="H505" s="59">
        <f t="shared" si="1"/>
        <v>1524324.3</v>
      </c>
      <c r="I505" s="39"/>
      <c r="J505" s="39"/>
      <c r="K505" s="60">
        <f t="shared" si="2"/>
        <v>0</v>
      </c>
      <c r="L505" s="39"/>
      <c r="M505" s="59">
        <f t="shared" si="3"/>
        <v>0</v>
      </c>
      <c r="N505" s="69">
        <v>6.0</v>
      </c>
      <c r="O505" s="62">
        <f t="shared" si="4"/>
        <v>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4">
        <v>498.0</v>
      </c>
      <c r="C506" s="56" t="s">
        <v>546</v>
      </c>
      <c r="D506" s="67">
        <v>297900.0</v>
      </c>
      <c r="E506" s="56">
        <v>2.0</v>
      </c>
      <c r="F506" s="59">
        <f t="shared" si="6"/>
        <v>595800</v>
      </c>
      <c r="G506" s="56">
        <v>2.0</v>
      </c>
      <c r="H506" s="59">
        <f t="shared" si="1"/>
        <v>595800</v>
      </c>
      <c r="I506" s="39"/>
      <c r="J506" s="39"/>
      <c r="K506" s="60">
        <f t="shared" si="2"/>
        <v>0</v>
      </c>
      <c r="L506" s="39"/>
      <c r="M506" s="59">
        <f t="shared" si="3"/>
        <v>0</v>
      </c>
      <c r="N506" s="69">
        <v>2.0</v>
      </c>
      <c r="O506" s="62">
        <f t="shared" si="4"/>
        <v>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4">
        <v>499.0</v>
      </c>
      <c r="C507" s="56" t="s">
        <v>547</v>
      </c>
      <c r="D507" s="67">
        <v>180169.37</v>
      </c>
      <c r="E507" s="56">
        <v>11.0</v>
      </c>
      <c r="F507" s="59">
        <f t="shared" si="6"/>
        <v>1981863.07</v>
      </c>
      <c r="G507" s="56">
        <v>11.0</v>
      </c>
      <c r="H507" s="59">
        <f t="shared" si="1"/>
        <v>1981863.07</v>
      </c>
      <c r="I507" s="39"/>
      <c r="J507" s="39"/>
      <c r="K507" s="60">
        <f t="shared" si="2"/>
        <v>0</v>
      </c>
      <c r="L507" s="39"/>
      <c r="M507" s="59">
        <f t="shared" si="3"/>
        <v>0</v>
      </c>
      <c r="N507" s="69">
        <v>11.0</v>
      </c>
      <c r="O507" s="62">
        <f t="shared" si="4"/>
        <v>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4">
        <v>500.0</v>
      </c>
      <c r="C508" s="56" t="s">
        <v>548</v>
      </c>
      <c r="D508" s="67">
        <v>131081.08</v>
      </c>
      <c r="E508" s="56">
        <v>13.0</v>
      </c>
      <c r="F508" s="59">
        <f t="shared" si="6"/>
        <v>1704054.04</v>
      </c>
      <c r="G508" s="56">
        <v>13.0</v>
      </c>
      <c r="H508" s="59">
        <f t="shared" si="1"/>
        <v>1704054.04</v>
      </c>
      <c r="I508" s="39"/>
      <c r="J508" s="39"/>
      <c r="K508" s="60">
        <f t="shared" si="2"/>
        <v>0</v>
      </c>
      <c r="L508" s="39"/>
      <c r="M508" s="59">
        <f t="shared" si="3"/>
        <v>0</v>
      </c>
      <c r="N508" s="69">
        <v>13.0</v>
      </c>
      <c r="O508" s="62">
        <f t="shared" si="4"/>
        <v>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4">
        <v>501.0</v>
      </c>
      <c r="C509" s="56" t="s">
        <v>549</v>
      </c>
      <c r="D509" s="67">
        <v>131081.08</v>
      </c>
      <c r="E509" s="56">
        <v>6.0</v>
      </c>
      <c r="F509" s="59">
        <f t="shared" si="6"/>
        <v>786486.48</v>
      </c>
      <c r="G509" s="56">
        <v>6.0</v>
      </c>
      <c r="H509" s="59">
        <f t="shared" si="1"/>
        <v>786486.48</v>
      </c>
      <c r="I509" s="39"/>
      <c r="J509" s="39"/>
      <c r="K509" s="60">
        <f t="shared" si="2"/>
        <v>0</v>
      </c>
      <c r="L509" s="39"/>
      <c r="M509" s="59">
        <f t="shared" si="3"/>
        <v>0</v>
      </c>
      <c r="N509" s="69">
        <v>6.0</v>
      </c>
      <c r="O509" s="62">
        <f t="shared" si="4"/>
        <v>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4">
        <v>502.0</v>
      </c>
      <c r="C510" s="56" t="s">
        <v>550</v>
      </c>
      <c r="D510" s="67">
        <v>131081.08</v>
      </c>
      <c r="E510" s="56">
        <v>2.0</v>
      </c>
      <c r="F510" s="59">
        <f t="shared" si="6"/>
        <v>262162.16</v>
      </c>
      <c r="G510" s="56">
        <v>2.0</v>
      </c>
      <c r="H510" s="59">
        <f t="shared" si="1"/>
        <v>262162.16</v>
      </c>
      <c r="I510" s="39"/>
      <c r="J510" s="39"/>
      <c r="K510" s="60">
        <f t="shared" si="2"/>
        <v>0</v>
      </c>
      <c r="L510" s="39"/>
      <c r="M510" s="59">
        <f t="shared" si="3"/>
        <v>0</v>
      </c>
      <c r="N510" s="69">
        <v>2.0</v>
      </c>
      <c r="O510" s="62">
        <f t="shared" si="4"/>
        <v>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4">
        <v>503.0</v>
      </c>
      <c r="C511" s="56" t="s">
        <v>551</v>
      </c>
      <c r="D511" s="67">
        <v>378000.0</v>
      </c>
      <c r="E511" s="56">
        <v>3.0</v>
      </c>
      <c r="F511" s="59">
        <f t="shared" si="6"/>
        <v>1134000</v>
      </c>
      <c r="G511" s="56">
        <v>3.0</v>
      </c>
      <c r="H511" s="59">
        <f t="shared" si="1"/>
        <v>1134000</v>
      </c>
      <c r="I511" s="39"/>
      <c r="J511" s="39"/>
      <c r="K511" s="60">
        <f t="shared" si="2"/>
        <v>0</v>
      </c>
      <c r="L511" s="39"/>
      <c r="M511" s="59">
        <f t="shared" si="3"/>
        <v>0</v>
      </c>
      <c r="N511" s="69">
        <v>3.0</v>
      </c>
      <c r="O511" s="62">
        <f t="shared" si="4"/>
        <v>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4">
        <v>504.0</v>
      </c>
      <c r="C512" s="56" t="s">
        <v>552</v>
      </c>
      <c r="D512" s="67">
        <v>183000.0</v>
      </c>
      <c r="E512" s="56">
        <v>1.0</v>
      </c>
      <c r="F512" s="59">
        <f t="shared" si="6"/>
        <v>183000</v>
      </c>
      <c r="G512" s="56">
        <v>1.0</v>
      </c>
      <c r="H512" s="59">
        <f t="shared" si="1"/>
        <v>183000</v>
      </c>
      <c r="I512" s="39"/>
      <c r="J512" s="39"/>
      <c r="K512" s="60">
        <f t="shared" si="2"/>
        <v>0</v>
      </c>
      <c r="L512" s="39"/>
      <c r="M512" s="59">
        <f t="shared" si="3"/>
        <v>0</v>
      </c>
      <c r="N512" s="69">
        <v>1.0</v>
      </c>
      <c r="O512" s="62">
        <f t="shared" si="4"/>
        <v>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4">
        <v>505.0</v>
      </c>
      <c r="C513" s="56" t="s">
        <v>553</v>
      </c>
      <c r="D513" s="67">
        <v>162162.16</v>
      </c>
      <c r="E513" s="56">
        <v>2.0</v>
      </c>
      <c r="F513" s="59">
        <f t="shared" si="6"/>
        <v>324324.32</v>
      </c>
      <c r="G513" s="56">
        <v>2.0</v>
      </c>
      <c r="H513" s="59">
        <f t="shared" si="1"/>
        <v>324324.32</v>
      </c>
      <c r="I513" s="39"/>
      <c r="J513" s="39"/>
      <c r="K513" s="60">
        <f t="shared" si="2"/>
        <v>0</v>
      </c>
      <c r="L513" s="39"/>
      <c r="M513" s="59">
        <f t="shared" si="3"/>
        <v>0</v>
      </c>
      <c r="N513" s="69">
        <v>2.0</v>
      </c>
      <c r="O513" s="62">
        <f t="shared" si="4"/>
        <v>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4">
        <v>506.0</v>
      </c>
      <c r="C514" s="56" t="s">
        <v>554</v>
      </c>
      <c r="D514" s="67">
        <v>189189.19</v>
      </c>
      <c r="E514" s="56">
        <v>2.0</v>
      </c>
      <c r="F514" s="59">
        <f t="shared" si="6"/>
        <v>378378.38</v>
      </c>
      <c r="G514" s="56">
        <v>2.0</v>
      </c>
      <c r="H514" s="59">
        <f t="shared" si="1"/>
        <v>378378.38</v>
      </c>
      <c r="I514" s="39"/>
      <c r="J514" s="39"/>
      <c r="K514" s="60">
        <f t="shared" si="2"/>
        <v>0</v>
      </c>
      <c r="L514" s="39"/>
      <c r="M514" s="59">
        <f t="shared" si="3"/>
        <v>0</v>
      </c>
      <c r="N514" s="69">
        <v>2.0</v>
      </c>
      <c r="O514" s="62">
        <f t="shared" si="4"/>
        <v>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4">
        <v>507.0</v>
      </c>
      <c r="C515" s="56" t="s">
        <v>555</v>
      </c>
      <c r="D515" s="67">
        <v>420000.0</v>
      </c>
      <c r="E515" s="56">
        <v>3.0</v>
      </c>
      <c r="F515" s="59">
        <f t="shared" si="6"/>
        <v>1260000</v>
      </c>
      <c r="G515" s="56">
        <v>3.0</v>
      </c>
      <c r="H515" s="59">
        <f t="shared" si="1"/>
        <v>1260000</v>
      </c>
      <c r="I515" s="39"/>
      <c r="J515" s="39"/>
      <c r="K515" s="60">
        <f t="shared" si="2"/>
        <v>0</v>
      </c>
      <c r="L515" s="39"/>
      <c r="M515" s="59">
        <f t="shared" si="3"/>
        <v>0</v>
      </c>
      <c r="N515" s="69">
        <v>3.0</v>
      </c>
      <c r="O515" s="62">
        <f t="shared" si="4"/>
        <v>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4">
        <v>508.0</v>
      </c>
      <c r="C516" s="56" t="s">
        <v>556</v>
      </c>
      <c r="D516" s="67">
        <v>172072.07</v>
      </c>
      <c r="E516" s="56">
        <v>9.0</v>
      </c>
      <c r="F516" s="59">
        <f t="shared" si="6"/>
        <v>1548648.63</v>
      </c>
      <c r="G516" s="56">
        <v>9.0</v>
      </c>
      <c r="H516" s="59">
        <f t="shared" si="1"/>
        <v>1548648.63</v>
      </c>
      <c r="I516" s="39"/>
      <c r="J516" s="39"/>
      <c r="K516" s="60">
        <f t="shared" si="2"/>
        <v>0</v>
      </c>
      <c r="L516" s="39"/>
      <c r="M516" s="59">
        <f t="shared" si="3"/>
        <v>0</v>
      </c>
      <c r="N516" s="69">
        <v>9.0</v>
      </c>
      <c r="O516" s="62">
        <f t="shared" si="4"/>
        <v>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4">
        <v>509.0</v>
      </c>
      <c r="C517" s="56" t="s">
        <v>557</v>
      </c>
      <c r="D517" s="67">
        <v>158558.56</v>
      </c>
      <c r="E517" s="56">
        <v>1.0</v>
      </c>
      <c r="F517" s="59">
        <f t="shared" si="6"/>
        <v>158558.56</v>
      </c>
      <c r="G517" s="56">
        <v>1.0</v>
      </c>
      <c r="H517" s="59">
        <f t="shared" si="1"/>
        <v>158558.56</v>
      </c>
      <c r="I517" s="39"/>
      <c r="J517" s="39"/>
      <c r="K517" s="60">
        <f t="shared" si="2"/>
        <v>0</v>
      </c>
      <c r="L517" s="39"/>
      <c r="M517" s="59">
        <f t="shared" si="3"/>
        <v>0</v>
      </c>
      <c r="N517" s="69">
        <v>1.0</v>
      </c>
      <c r="O517" s="62">
        <f t="shared" si="4"/>
        <v>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4">
        <v>510.0</v>
      </c>
      <c r="C518" s="56" t="s">
        <v>558</v>
      </c>
      <c r="D518" s="67">
        <v>172072.07</v>
      </c>
      <c r="E518" s="56">
        <v>2.0</v>
      </c>
      <c r="F518" s="59">
        <f t="shared" si="6"/>
        <v>344144.14</v>
      </c>
      <c r="G518" s="56">
        <v>2.0</v>
      </c>
      <c r="H518" s="59">
        <f t="shared" si="1"/>
        <v>344144.14</v>
      </c>
      <c r="I518" s="39"/>
      <c r="J518" s="39"/>
      <c r="K518" s="60">
        <f t="shared" si="2"/>
        <v>0</v>
      </c>
      <c r="L518" s="39"/>
      <c r="M518" s="59">
        <f t="shared" si="3"/>
        <v>0</v>
      </c>
      <c r="N518" s="69">
        <v>2.0</v>
      </c>
      <c r="O518" s="62">
        <f t="shared" si="4"/>
        <v>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4">
        <v>511.0</v>
      </c>
      <c r="C519" s="56" t="s">
        <v>559</v>
      </c>
      <c r="D519" s="67">
        <v>172072.07</v>
      </c>
      <c r="E519" s="56">
        <v>1.0</v>
      </c>
      <c r="F519" s="59">
        <f t="shared" si="6"/>
        <v>172072.07</v>
      </c>
      <c r="G519" s="56">
        <v>1.0</v>
      </c>
      <c r="H519" s="59">
        <f t="shared" si="1"/>
        <v>172072.07</v>
      </c>
      <c r="I519" s="39"/>
      <c r="J519" s="39"/>
      <c r="K519" s="60">
        <f t="shared" si="2"/>
        <v>0</v>
      </c>
      <c r="L519" s="39"/>
      <c r="M519" s="59">
        <f t="shared" si="3"/>
        <v>0</v>
      </c>
      <c r="N519" s="69">
        <v>1.0</v>
      </c>
      <c r="O519" s="62">
        <f t="shared" si="4"/>
        <v>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4">
        <v>512.0</v>
      </c>
      <c r="C520" s="56" t="s">
        <v>560</v>
      </c>
      <c r="D520" s="67">
        <v>189189.19</v>
      </c>
      <c r="E520" s="56">
        <v>2.0</v>
      </c>
      <c r="F520" s="59">
        <f t="shared" si="6"/>
        <v>378378.38</v>
      </c>
      <c r="G520" s="56">
        <v>2.0</v>
      </c>
      <c r="H520" s="59">
        <f t="shared" si="1"/>
        <v>378378.38</v>
      </c>
      <c r="I520" s="39"/>
      <c r="J520" s="39"/>
      <c r="K520" s="60">
        <f t="shared" si="2"/>
        <v>0</v>
      </c>
      <c r="L520" s="39"/>
      <c r="M520" s="59">
        <f t="shared" si="3"/>
        <v>0</v>
      </c>
      <c r="N520" s="69">
        <v>2.0</v>
      </c>
      <c r="O520" s="62">
        <f t="shared" si="4"/>
        <v>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4">
        <v>513.0</v>
      </c>
      <c r="C521" s="56" t="s">
        <v>561</v>
      </c>
      <c r="D521" s="67">
        <v>290000.0</v>
      </c>
      <c r="E521" s="56">
        <v>3.0</v>
      </c>
      <c r="F521" s="59">
        <f t="shared" si="6"/>
        <v>870000</v>
      </c>
      <c r="G521" s="56">
        <v>3.0</v>
      </c>
      <c r="H521" s="59">
        <f t="shared" si="1"/>
        <v>870000</v>
      </c>
      <c r="I521" s="39"/>
      <c r="J521" s="39"/>
      <c r="K521" s="60">
        <f t="shared" si="2"/>
        <v>0</v>
      </c>
      <c r="L521" s="39"/>
      <c r="M521" s="59">
        <f t="shared" si="3"/>
        <v>0</v>
      </c>
      <c r="N521" s="69">
        <v>3.0</v>
      </c>
      <c r="O521" s="62">
        <f t="shared" si="4"/>
        <v>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4">
        <v>514.0</v>
      </c>
      <c r="C522" s="56" t="s">
        <v>562</v>
      </c>
      <c r="D522" s="67">
        <v>290000.0</v>
      </c>
      <c r="E522" s="56">
        <v>1.0</v>
      </c>
      <c r="F522" s="59">
        <f t="shared" si="6"/>
        <v>290000</v>
      </c>
      <c r="G522" s="56">
        <v>1.0</v>
      </c>
      <c r="H522" s="59">
        <f t="shared" si="1"/>
        <v>290000</v>
      </c>
      <c r="I522" s="39"/>
      <c r="J522" s="39"/>
      <c r="K522" s="60">
        <f t="shared" si="2"/>
        <v>0</v>
      </c>
      <c r="L522" s="39"/>
      <c r="M522" s="59">
        <f t="shared" si="3"/>
        <v>0</v>
      </c>
      <c r="N522" s="69">
        <v>1.0</v>
      </c>
      <c r="O522" s="62">
        <f t="shared" si="4"/>
        <v>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4">
        <v>515.0</v>
      </c>
      <c r="C523" s="56" t="s">
        <v>563</v>
      </c>
      <c r="D523" s="67">
        <v>210000.0</v>
      </c>
      <c r="E523" s="56">
        <v>2.0</v>
      </c>
      <c r="F523" s="59">
        <f t="shared" si="6"/>
        <v>420000</v>
      </c>
      <c r="G523" s="56">
        <v>2.0</v>
      </c>
      <c r="H523" s="59">
        <f t="shared" si="1"/>
        <v>420000</v>
      </c>
      <c r="I523" s="39"/>
      <c r="J523" s="39"/>
      <c r="K523" s="60">
        <f t="shared" si="2"/>
        <v>0</v>
      </c>
      <c r="L523" s="39"/>
      <c r="M523" s="59">
        <f t="shared" si="3"/>
        <v>0</v>
      </c>
      <c r="N523" s="69">
        <v>2.0</v>
      </c>
      <c r="O523" s="62">
        <f t="shared" si="4"/>
        <v>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4">
        <v>516.0</v>
      </c>
      <c r="C524" s="56" t="s">
        <v>564</v>
      </c>
      <c r="D524" s="67">
        <v>193693.69</v>
      </c>
      <c r="E524" s="56">
        <v>1.0</v>
      </c>
      <c r="F524" s="59">
        <f t="shared" si="6"/>
        <v>193693.69</v>
      </c>
      <c r="G524" s="56">
        <v>1.0</v>
      </c>
      <c r="H524" s="59">
        <f t="shared" si="1"/>
        <v>193693.69</v>
      </c>
      <c r="I524" s="39"/>
      <c r="J524" s="39"/>
      <c r="K524" s="60">
        <f t="shared" si="2"/>
        <v>0</v>
      </c>
      <c r="L524" s="39"/>
      <c r="M524" s="59">
        <f t="shared" si="3"/>
        <v>0</v>
      </c>
      <c r="N524" s="69">
        <v>1.0</v>
      </c>
      <c r="O524" s="62">
        <f t="shared" si="4"/>
        <v>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4">
        <v>517.0</v>
      </c>
      <c r="C525" s="56" t="s">
        <v>565</v>
      </c>
      <c r="D525" s="67">
        <v>220000.0</v>
      </c>
      <c r="E525" s="56">
        <v>1.0</v>
      </c>
      <c r="F525" s="59">
        <f t="shared" si="6"/>
        <v>220000</v>
      </c>
      <c r="G525" s="56">
        <v>1.0</v>
      </c>
      <c r="H525" s="59">
        <f t="shared" si="1"/>
        <v>220000</v>
      </c>
      <c r="I525" s="39"/>
      <c r="J525" s="39"/>
      <c r="K525" s="60">
        <f t="shared" si="2"/>
        <v>0</v>
      </c>
      <c r="L525" s="39"/>
      <c r="M525" s="59">
        <f t="shared" si="3"/>
        <v>0</v>
      </c>
      <c r="N525" s="69">
        <v>1.0</v>
      </c>
      <c r="O525" s="62">
        <f t="shared" si="4"/>
        <v>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4">
        <v>518.0</v>
      </c>
      <c r="C526" s="56" t="s">
        <v>566</v>
      </c>
      <c r="D526" s="67">
        <v>162162.16</v>
      </c>
      <c r="E526" s="56">
        <v>3.0</v>
      </c>
      <c r="F526" s="59">
        <f t="shared" si="6"/>
        <v>486486.48</v>
      </c>
      <c r="G526" s="56">
        <v>3.0</v>
      </c>
      <c r="H526" s="59">
        <f t="shared" si="1"/>
        <v>486486.48</v>
      </c>
      <c r="I526" s="39"/>
      <c r="J526" s="39"/>
      <c r="K526" s="60">
        <f t="shared" si="2"/>
        <v>0</v>
      </c>
      <c r="L526" s="39"/>
      <c r="M526" s="59">
        <f t="shared" si="3"/>
        <v>0</v>
      </c>
      <c r="N526" s="69">
        <v>3.0</v>
      </c>
      <c r="O526" s="62">
        <f t="shared" si="4"/>
        <v>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4">
        <v>519.0</v>
      </c>
      <c r="C527" s="56" t="s">
        <v>567</v>
      </c>
      <c r="D527" s="67">
        <v>162162.16</v>
      </c>
      <c r="E527" s="56">
        <v>1.0</v>
      </c>
      <c r="F527" s="59">
        <f t="shared" si="6"/>
        <v>162162.16</v>
      </c>
      <c r="G527" s="56">
        <v>1.0</v>
      </c>
      <c r="H527" s="59">
        <f t="shared" si="1"/>
        <v>162162.16</v>
      </c>
      <c r="I527" s="39"/>
      <c r="J527" s="39"/>
      <c r="K527" s="60">
        <f t="shared" si="2"/>
        <v>0</v>
      </c>
      <c r="L527" s="39"/>
      <c r="M527" s="59">
        <f t="shared" si="3"/>
        <v>0</v>
      </c>
      <c r="N527" s="69">
        <v>1.0</v>
      </c>
      <c r="O527" s="62">
        <f t="shared" si="4"/>
        <v>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4">
        <v>520.0</v>
      </c>
      <c r="C528" s="56" t="s">
        <v>568</v>
      </c>
      <c r="D528" s="67">
        <v>157657.66</v>
      </c>
      <c r="E528" s="56">
        <v>6.0</v>
      </c>
      <c r="F528" s="59">
        <f t="shared" si="6"/>
        <v>945945.96</v>
      </c>
      <c r="G528" s="56">
        <v>6.0</v>
      </c>
      <c r="H528" s="59">
        <f t="shared" si="1"/>
        <v>945945.96</v>
      </c>
      <c r="I528" s="39"/>
      <c r="J528" s="39"/>
      <c r="K528" s="60">
        <f t="shared" si="2"/>
        <v>0</v>
      </c>
      <c r="L528" s="39"/>
      <c r="M528" s="59">
        <f t="shared" si="3"/>
        <v>0</v>
      </c>
      <c r="N528" s="69">
        <v>6.0</v>
      </c>
      <c r="O528" s="62">
        <f t="shared" si="4"/>
        <v>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4">
        <v>521.0</v>
      </c>
      <c r="C529" s="56" t="s">
        <v>569</v>
      </c>
      <c r="D529" s="67">
        <v>220000.0</v>
      </c>
      <c r="E529" s="56">
        <v>3.0</v>
      </c>
      <c r="F529" s="59">
        <f t="shared" si="6"/>
        <v>660000</v>
      </c>
      <c r="G529" s="56">
        <v>3.0</v>
      </c>
      <c r="H529" s="59">
        <f t="shared" si="1"/>
        <v>660000</v>
      </c>
      <c r="I529" s="39"/>
      <c r="J529" s="39"/>
      <c r="K529" s="60">
        <f t="shared" si="2"/>
        <v>0</v>
      </c>
      <c r="L529" s="39"/>
      <c r="M529" s="59">
        <f t="shared" si="3"/>
        <v>0</v>
      </c>
      <c r="N529" s="69">
        <v>3.0</v>
      </c>
      <c r="O529" s="62">
        <f t="shared" si="4"/>
        <v>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4">
        <v>522.0</v>
      </c>
      <c r="C530" s="56" t="s">
        <v>570</v>
      </c>
      <c r="D530" s="67">
        <v>189189.19</v>
      </c>
      <c r="E530" s="56">
        <v>1.0</v>
      </c>
      <c r="F530" s="59">
        <f t="shared" si="6"/>
        <v>189189.19</v>
      </c>
      <c r="G530" s="56">
        <v>1.0</v>
      </c>
      <c r="H530" s="59">
        <f t="shared" si="1"/>
        <v>189189.19</v>
      </c>
      <c r="I530" s="39"/>
      <c r="J530" s="39"/>
      <c r="K530" s="60">
        <f t="shared" si="2"/>
        <v>0</v>
      </c>
      <c r="L530" s="39"/>
      <c r="M530" s="59">
        <f t="shared" si="3"/>
        <v>0</v>
      </c>
      <c r="N530" s="69">
        <v>1.0</v>
      </c>
      <c r="O530" s="62">
        <f t="shared" si="4"/>
        <v>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4">
        <v>523.0</v>
      </c>
      <c r="C531" s="56" t="s">
        <v>571</v>
      </c>
      <c r="D531" s="67">
        <v>172072.07</v>
      </c>
      <c r="E531" s="56">
        <v>1.0</v>
      </c>
      <c r="F531" s="59">
        <f t="shared" si="6"/>
        <v>172072.07</v>
      </c>
      <c r="G531" s="56">
        <v>1.0</v>
      </c>
      <c r="H531" s="59">
        <f t="shared" si="1"/>
        <v>172072.07</v>
      </c>
      <c r="I531" s="39"/>
      <c r="J531" s="39"/>
      <c r="K531" s="60">
        <f t="shared" si="2"/>
        <v>0</v>
      </c>
      <c r="L531" s="39"/>
      <c r="M531" s="59">
        <f t="shared" si="3"/>
        <v>0</v>
      </c>
      <c r="N531" s="69">
        <v>1.0</v>
      </c>
      <c r="O531" s="62">
        <f t="shared" si="4"/>
        <v>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4">
        <v>524.0</v>
      </c>
      <c r="C532" s="56" t="s">
        <v>572</v>
      </c>
      <c r="D532" s="67">
        <v>313470.0</v>
      </c>
      <c r="E532" s="56">
        <v>3.0</v>
      </c>
      <c r="F532" s="59">
        <f t="shared" si="6"/>
        <v>940410</v>
      </c>
      <c r="G532" s="56">
        <v>3.0</v>
      </c>
      <c r="H532" s="59">
        <f t="shared" si="1"/>
        <v>940410</v>
      </c>
      <c r="I532" s="39"/>
      <c r="J532" s="39"/>
      <c r="K532" s="60">
        <f t="shared" si="2"/>
        <v>0</v>
      </c>
      <c r="L532" s="39"/>
      <c r="M532" s="59">
        <f t="shared" si="3"/>
        <v>0</v>
      </c>
      <c r="N532" s="69">
        <v>3.0</v>
      </c>
      <c r="O532" s="62">
        <f t="shared" si="4"/>
        <v>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4">
        <v>525.0</v>
      </c>
      <c r="C533" s="56" t="s">
        <v>573</v>
      </c>
      <c r="D533" s="67">
        <v>100000.0</v>
      </c>
      <c r="E533" s="56">
        <v>4.0</v>
      </c>
      <c r="F533" s="59">
        <f t="shared" si="6"/>
        <v>400000</v>
      </c>
      <c r="G533" s="56">
        <v>4.0</v>
      </c>
      <c r="H533" s="59">
        <f t="shared" si="1"/>
        <v>400000</v>
      </c>
      <c r="I533" s="39"/>
      <c r="J533" s="39"/>
      <c r="K533" s="60">
        <f t="shared" si="2"/>
        <v>0</v>
      </c>
      <c r="L533" s="39"/>
      <c r="M533" s="59">
        <f t="shared" si="3"/>
        <v>0</v>
      </c>
      <c r="N533" s="69">
        <v>4.0</v>
      </c>
      <c r="O533" s="62">
        <f t="shared" si="4"/>
        <v>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4">
        <v>526.0</v>
      </c>
      <c r="C534" s="56" t="s">
        <v>574</v>
      </c>
      <c r="D534" s="67">
        <v>117117.12</v>
      </c>
      <c r="E534" s="56">
        <v>52.0</v>
      </c>
      <c r="F534" s="59">
        <f t="shared" si="6"/>
        <v>6090090.24</v>
      </c>
      <c r="G534" s="56">
        <v>52.0</v>
      </c>
      <c r="H534" s="59">
        <f t="shared" si="1"/>
        <v>6090090.24</v>
      </c>
      <c r="I534" s="39"/>
      <c r="J534" s="39"/>
      <c r="K534" s="60">
        <f t="shared" si="2"/>
        <v>0</v>
      </c>
      <c r="L534" s="39"/>
      <c r="M534" s="59">
        <f t="shared" si="3"/>
        <v>0</v>
      </c>
      <c r="N534" s="69">
        <v>52.0</v>
      </c>
      <c r="O534" s="62">
        <f t="shared" si="4"/>
        <v>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4">
        <v>527.0</v>
      </c>
      <c r="C535" s="56" t="s">
        <v>575</v>
      </c>
      <c r="D535" s="67">
        <v>131081.08</v>
      </c>
      <c r="E535" s="56">
        <v>2.0</v>
      </c>
      <c r="F535" s="59">
        <f t="shared" si="6"/>
        <v>262162.16</v>
      </c>
      <c r="G535" s="56">
        <v>2.0</v>
      </c>
      <c r="H535" s="59">
        <f t="shared" si="1"/>
        <v>262162.16</v>
      </c>
      <c r="I535" s="39"/>
      <c r="J535" s="39"/>
      <c r="K535" s="60">
        <f t="shared" si="2"/>
        <v>0</v>
      </c>
      <c r="L535" s="39"/>
      <c r="M535" s="59">
        <f t="shared" si="3"/>
        <v>0</v>
      </c>
      <c r="N535" s="69">
        <v>2.0</v>
      </c>
      <c r="O535" s="62">
        <f t="shared" si="4"/>
        <v>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4">
        <v>528.0</v>
      </c>
      <c r="C536" s="56" t="s">
        <v>576</v>
      </c>
      <c r="D536" s="67">
        <v>131081.08</v>
      </c>
      <c r="E536" s="56">
        <v>2.0</v>
      </c>
      <c r="F536" s="59">
        <f t="shared" si="6"/>
        <v>262162.16</v>
      </c>
      <c r="G536" s="56">
        <v>2.0</v>
      </c>
      <c r="H536" s="59">
        <f t="shared" si="1"/>
        <v>262162.16</v>
      </c>
      <c r="I536" s="39"/>
      <c r="J536" s="39"/>
      <c r="K536" s="60">
        <f t="shared" si="2"/>
        <v>0</v>
      </c>
      <c r="L536" s="39"/>
      <c r="M536" s="59">
        <f t="shared" si="3"/>
        <v>0</v>
      </c>
      <c r="N536" s="69">
        <v>2.0</v>
      </c>
      <c r="O536" s="62">
        <f t="shared" si="4"/>
        <v>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4">
        <v>529.0</v>
      </c>
      <c r="C537" s="56" t="s">
        <v>577</v>
      </c>
      <c r="D537" s="67">
        <v>110000.0</v>
      </c>
      <c r="E537" s="56">
        <v>1.0</v>
      </c>
      <c r="F537" s="59">
        <f t="shared" si="6"/>
        <v>110000</v>
      </c>
      <c r="G537" s="56">
        <v>1.0</v>
      </c>
      <c r="H537" s="59">
        <f t="shared" si="1"/>
        <v>110000</v>
      </c>
      <c r="I537" s="39"/>
      <c r="J537" s="39"/>
      <c r="K537" s="60">
        <f t="shared" si="2"/>
        <v>0</v>
      </c>
      <c r="L537" s="39"/>
      <c r="M537" s="59">
        <f t="shared" si="3"/>
        <v>0</v>
      </c>
      <c r="N537" s="69">
        <v>1.0</v>
      </c>
      <c r="O537" s="62">
        <f t="shared" si="4"/>
        <v>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4">
        <v>530.0</v>
      </c>
      <c r="C538" s="56" t="s">
        <v>578</v>
      </c>
      <c r="D538" s="67">
        <v>329000.0</v>
      </c>
      <c r="E538" s="56">
        <v>1.0</v>
      </c>
      <c r="F538" s="59">
        <f t="shared" si="6"/>
        <v>329000</v>
      </c>
      <c r="G538" s="56">
        <v>1.0</v>
      </c>
      <c r="H538" s="59">
        <f t="shared" si="1"/>
        <v>329000</v>
      </c>
      <c r="I538" s="39"/>
      <c r="J538" s="39"/>
      <c r="K538" s="60">
        <f t="shared" si="2"/>
        <v>0</v>
      </c>
      <c r="L538" s="39"/>
      <c r="M538" s="59">
        <f t="shared" si="3"/>
        <v>0</v>
      </c>
      <c r="N538" s="69">
        <v>1.0</v>
      </c>
      <c r="O538" s="62">
        <f t="shared" si="4"/>
        <v>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4">
        <v>531.0</v>
      </c>
      <c r="C539" s="56" t="s">
        <v>579</v>
      </c>
      <c r="D539" s="67">
        <v>220000.0</v>
      </c>
      <c r="E539" s="56">
        <v>1.0</v>
      </c>
      <c r="F539" s="59">
        <f t="shared" si="6"/>
        <v>220000</v>
      </c>
      <c r="G539" s="56">
        <v>1.0</v>
      </c>
      <c r="H539" s="59">
        <f t="shared" si="1"/>
        <v>220000</v>
      </c>
      <c r="I539" s="39"/>
      <c r="J539" s="39"/>
      <c r="K539" s="60">
        <f t="shared" si="2"/>
        <v>0</v>
      </c>
      <c r="L539" s="39"/>
      <c r="M539" s="59">
        <f t="shared" si="3"/>
        <v>0</v>
      </c>
      <c r="N539" s="69">
        <v>1.0</v>
      </c>
      <c r="O539" s="62">
        <f t="shared" si="4"/>
        <v>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4">
        <v>532.0</v>
      </c>
      <c r="C540" s="56" t="s">
        <v>580</v>
      </c>
      <c r="D540" s="67">
        <v>855000.0</v>
      </c>
      <c r="E540" s="56">
        <v>1.0</v>
      </c>
      <c r="F540" s="59">
        <f t="shared" si="6"/>
        <v>855000</v>
      </c>
      <c r="G540" s="56">
        <v>1.0</v>
      </c>
      <c r="H540" s="59">
        <f t="shared" si="1"/>
        <v>855000</v>
      </c>
      <c r="I540" s="39"/>
      <c r="J540" s="39"/>
      <c r="K540" s="60">
        <f t="shared" si="2"/>
        <v>0</v>
      </c>
      <c r="L540" s="39"/>
      <c r="M540" s="59">
        <f t="shared" si="3"/>
        <v>0</v>
      </c>
      <c r="N540" s="69">
        <v>1.0</v>
      </c>
      <c r="O540" s="62">
        <f t="shared" si="4"/>
        <v>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4">
        <v>533.0</v>
      </c>
      <c r="C541" s="56" t="s">
        <v>581</v>
      </c>
      <c r="D541" s="67">
        <v>189189.19</v>
      </c>
      <c r="E541" s="56">
        <v>8.0</v>
      </c>
      <c r="F541" s="59">
        <f t="shared" si="6"/>
        <v>1513513.52</v>
      </c>
      <c r="G541" s="56">
        <v>8.0</v>
      </c>
      <c r="H541" s="59">
        <f t="shared" si="1"/>
        <v>1513513.52</v>
      </c>
      <c r="I541" s="39"/>
      <c r="J541" s="39"/>
      <c r="K541" s="60">
        <f t="shared" si="2"/>
        <v>0</v>
      </c>
      <c r="L541" s="39"/>
      <c r="M541" s="59">
        <f t="shared" si="3"/>
        <v>0</v>
      </c>
      <c r="N541" s="69">
        <v>8.0</v>
      </c>
      <c r="O541" s="62">
        <f t="shared" si="4"/>
        <v>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4">
        <v>534.0</v>
      </c>
      <c r="C542" s="56" t="s">
        <v>582</v>
      </c>
      <c r="D542" s="67">
        <v>1700.0</v>
      </c>
      <c r="E542" s="56">
        <v>14.0</v>
      </c>
      <c r="F542" s="59">
        <f t="shared" si="6"/>
        <v>23800</v>
      </c>
      <c r="G542" s="56">
        <v>14.0</v>
      </c>
      <c r="H542" s="59">
        <f t="shared" si="1"/>
        <v>23800</v>
      </c>
      <c r="I542" s="39"/>
      <c r="J542" s="39"/>
      <c r="K542" s="60">
        <f t="shared" si="2"/>
        <v>0</v>
      </c>
      <c r="L542" s="39"/>
      <c r="M542" s="59">
        <f t="shared" si="3"/>
        <v>0</v>
      </c>
      <c r="N542" s="69">
        <v>14.0</v>
      </c>
      <c r="O542" s="62">
        <f t="shared" si="4"/>
        <v>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4">
        <v>535.0</v>
      </c>
      <c r="C543" s="56" t="s">
        <v>583</v>
      </c>
      <c r="D543" s="67">
        <v>1500.0</v>
      </c>
      <c r="E543" s="56">
        <v>1.0</v>
      </c>
      <c r="F543" s="59">
        <f t="shared" si="6"/>
        <v>1500</v>
      </c>
      <c r="G543" s="56">
        <v>1.0</v>
      </c>
      <c r="H543" s="59">
        <f t="shared" si="1"/>
        <v>1500</v>
      </c>
      <c r="I543" s="39"/>
      <c r="J543" s="39"/>
      <c r="K543" s="60">
        <f t="shared" si="2"/>
        <v>0</v>
      </c>
      <c r="L543" s="39"/>
      <c r="M543" s="59">
        <f t="shared" si="3"/>
        <v>0</v>
      </c>
      <c r="N543" s="69">
        <v>1.0</v>
      </c>
      <c r="O543" s="62">
        <f t="shared" si="4"/>
        <v>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4">
        <v>536.0</v>
      </c>
      <c r="C544" s="56" t="s">
        <v>584</v>
      </c>
      <c r="D544" s="67">
        <v>500000.0</v>
      </c>
      <c r="E544" s="56">
        <v>1.0</v>
      </c>
      <c r="F544" s="59">
        <f t="shared" si="6"/>
        <v>500000</v>
      </c>
      <c r="G544" s="56">
        <v>1.0</v>
      </c>
      <c r="H544" s="59">
        <f t="shared" si="1"/>
        <v>500000</v>
      </c>
      <c r="I544" s="39"/>
      <c r="J544" s="39"/>
      <c r="K544" s="60">
        <f t="shared" si="2"/>
        <v>0</v>
      </c>
      <c r="L544" s="39"/>
      <c r="M544" s="59">
        <f t="shared" si="3"/>
        <v>0</v>
      </c>
      <c r="N544" s="69">
        <v>1.0</v>
      </c>
      <c r="O544" s="62">
        <f t="shared" si="4"/>
        <v>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4">
        <v>537.0</v>
      </c>
      <c r="C545" s="56" t="s">
        <v>585</v>
      </c>
      <c r="D545" s="67">
        <v>15500.0</v>
      </c>
      <c r="E545" s="56">
        <v>8.0</v>
      </c>
      <c r="F545" s="59">
        <f t="shared" si="6"/>
        <v>124000</v>
      </c>
      <c r="G545" s="56">
        <v>8.0</v>
      </c>
      <c r="H545" s="59">
        <f t="shared" si="1"/>
        <v>124000</v>
      </c>
      <c r="I545" s="39"/>
      <c r="J545" s="39"/>
      <c r="K545" s="60">
        <f t="shared" si="2"/>
        <v>0</v>
      </c>
      <c r="L545" s="39"/>
      <c r="M545" s="59">
        <f t="shared" si="3"/>
        <v>0</v>
      </c>
      <c r="N545" s="69">
        <v>8.0</v>
      </c>
      <c r="O545" s="62">
        <f t="shared" si="4"/>
        <v>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4">
        <v>538.0</v>
      </c>
      <c r="C546" s="56" t="s">
        <v>586</v>
      </c>
      <c r="D546" s="67">
        <v>19000.0</v>
      </c>
      <c r="E546" s="56">
        <v>0.0</v>
      </c>
      <c r="F546" s="59">
        <f t="shared" si="6"/>
        <v>0</v>
      </c>
      <c r="G546" s="56">
        <v>0.0</v>
      </c>
      <c r="H546" s="59">
        <f t="shared" si="1"/>
        <v>0</v>
      </c>
      <c r="I546" s="39"/>
      <c r="J546" s="39"/>
      <c r="K546" s="60">
        <f t="shared" si="2"/>
        <v>0</v>
      </c>
      <c r="L546" s="39"/>
      <c r="M546" s="59">
        <f t="shared" si="3"/>
        <v>0</v>
      </c>
      <c r="N546" s="69">
        <v>0.0</v>
      </c>
      <c r="O546" s="62">
        <f t="shared" si="4"/>
        <v>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4">
        <v>539.0</v>
      </c>
      <c r="C547" s="56" t="s">
        <v>587</v>
      </c>
      <c r="D547" s="67">
        <v>25000.0</v>
      </c>
      <c r="E547" s="56">
        <v>1.0</v>
      </c>
      <c r="F547" s="59">
        <f t="shared" si="6"/>
        <v>25000</v>
      </c>
      <c r="G547" s="56">
        <v>21.0</v>
      </c>
      <c r="H547" s="59">
        <f t="shared" si="1"/>
        <v>525000</v>
      </c>
      <c r="I547" s="39"/>
      <c r="J547" s="39"/>
      <c r="K547" s="60">
        <f t="shared" si="2"/>
        <v>0</v>
      </c>
      <c r="L547" s="56">
        <v>20.0</v>
      </c>
      <c r="M547" s="59">
        <f t="shared" si="3"/>
        <v>500000</v>
      </c>
      <c r="N547" s="69">
        <v>21.0</v>
      </c>
      <c r="O547" s="62">
        <f t="shared" si="4"/>
        <v>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4">
        <v>540.0</v>
      </c>
      <c r="C548" s="56" t="s">
        <v>588</v>
      </c>
      <c r="D548" s="67">
        <v>17500.0</v>
      </c>
      <c r="E548" s="56">
        <v>2.0</v>
      </c>
      <c r="F548" s="59">
        <f t="shared" si="6"/>
        <v>35000</v>
      </c>
      <c r="G548" s="56">
        <v>2.0</v>
      </c>
      <c r="H548" s="59">
        <f t="shared" si="1"/>
        <v>35000</v>
      </c>
      <c r="I548" s="39"/>
      <c r="J548" s="39"/>
      <c r="K548" s="60">
        <f t="shared" si="2"/>
        <v>0</v>
      </c>
      <c r="L548" s="39"/>
      <c r="M548" s="59">
        <f t="shared" si="3"/>
        <v>0</v>
      </c>
      <c r="N548" s="69">
        <v>2.0</v>
      </c>
      <c r="O548" s="62">
        <f t="shared" si="4"/>
        <v>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4">
        <v>541.0</v>
      </c>
      <c r="C549" s="56" t="s">
        <v>589</v>
      </c>
      <c r="D549" s="67">
        <v>550.0</v>
      </c>
      <c r="E549" s="56">
        <v>206.0</v>
      </c>
      <c r="F549" s="59">
        <f t="shared" si="6"/>
        <v>113300</v>
      </c>
      <c r="G549" s="56">
        <v>206.0</v>
      </c>
      <c r="H549" s="59">
        <f t="shared" si="1"/>
        <v>113300</v>
      </c>
      <c r="I549" s="39"/>
      <c r="J549" s="39"/>
      <c r="K549" s="60">
        <f t="shared" si="2"/>
        <v>0</v>
      </c>
      <c r="L549" s="39"/>
      <c r="M549" s="59">
        <f t="shared" si="3"/>
        <v>0</v>
      </c>
      <c r="N549" s="69">
        <v>206.0</v>
      </c>
      <c r="O549" s="62">
        <f t="shared" si="4"/>
        <v>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4">
        <v>542.0</v>
      </c>
      <c r="C550" s="56" t="s">
        <v>590</v>
      </c>
      <c r="D550" s="67">
        <v>10300.0</v>
      </c>
      <c r="E550" s="56">
        <v>42.0</v>
      </c>
      <c r="F550" s="59">
        <f t="shared" si="6"/>
        <v>432600</v>
      </c>
      <c r="G550" s="56">
        <v>0.0</v>
      </c>
      <c r="H550" s="59">
        <f t="shared" si="1"/>
        <v>0</v>
      </c>
      <c r="I550" s="39"/>
      <c r="J550" s="56">
        <v>42.0</v>
      </c>
      <c r="K550" s="60">
        <f t="shared" si="2"/>
        <v>432600</v>
      </c>
      <c r="L550" s="39"/>
      <c r="M550" s="59">
        <f t="shared" si="3"/>
        <v>0</v>
      </c>
      <c r="N550" s="69">
        <v>0.0</v>
      </c>
      <c r="O550" s="62">
        <f t="shared" si="4"/>
        <v>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4">
        <v>543.0</v>
      </c>
      <c r="C551" s="56" t="s">
        <v>591</v>
      </c>
      <c r="D551" s="67">
        <v>4000.0</v>
      </c>
      <c r="E551" s="56">
        <v>11.0</v>
      </c>
      <c r="F551" s="59">
        <f t="shared" si="6"/>
        <v>44000</v>
      </c>
      <c r="G551" s="56">
        <v>11.0</v>
      </c>
      <c r="H551" s="59">
        <f t="shared" si="1"/>
        <v>44000</v>
      </c>
      <c r="I551" s="39"/>
      <c r="J551" s="39"/>
      <c r="K551" s="60">
        <f t="shared" si="2"/>
        <v>0</v>
      </c>
      <c r="L551" s="39"/>
      <c r="M551" s="59">
        <f t="shared" si="3"/>
        <v>0</v>
      </c>
      <c r="N551" s="69">
        <v>11.0</v>
      </c>
      <c r="O551" s="62">
        <f t="shared" si="4"/>
        <v>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4">
        <v>544.0</v>
      </c>
      <c r="C552" s="56" t="s">
        <v>592</v>
      </c>
      <c r="D552" s="67">
        <v>9459.46</v>
      </c>
      <c r="E552" s="56">
        <v>36.0</v>
      </c>
      <c r="F552" s="59">
        <f t="shared" si="6"/>
        <v>340540.56</v>
      </c>
      <c r="G552" s="56">
        <v>36.0</v>
      </c>
      <c r="H552" s="59">
        <f t="shared" si="1"/>
        <v>340540.56</v>
      </c>
      <c r="I552" s="39"/>
      <c r="J552" s="39"/>
      <c r="K552" s="60">
        <f t="shared" si="2"/>
        <v>0</v>
      </c>
      <c r="L552" s="39"/>
      <c r="M552" s="59">
        <f t="shared" si="3"/>
        <v>0</v>
      </c>
      <c r="N552" s="69">
        <v>36.0</v>
      </c>
      <c r="O552" s="62">
        <f t="shared" si="4"/>
        <v>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4">
        <v>545.0</v>
      </c>
      <c r="C553" s="56" t="s">
        <v>593</v>
      </c>
      <c r="D553" s="67">
        <v>6000.0</v>
      </c>
      <c r="E553" s="56">
        <v>14.0</v>
      </c>
      <c r="F553" s="59">
        <f t="shared" si="6"/>
        <v>84000</v>
      </c>
      <c r="G553" s="56">
        <v>14.0</v>
      </c>
      <c r="H553" s="59">
        <f t="shared" si="1"/>
        <v>84000</v>
      </c>
      <c r="I553" s="39"/>
      <c r="J553" s="39"/>
      <c r="K553" s="60">
        <f t="shared" si="2"/>
        <v>0</v>
      </c>
      <c r="L553" s="39"/>
      <c r="M553" s="59">
        <f t="shared" si="3"/>
        <v>0</v>
      </c>
      <c r="N553" s="69">
        <v>14.0</v>
      </c>
      <c r="O553" s="62">
        <f t="shared" si="4"/>
        <v>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4">
        <v>546.0</v>
      </c>
      <c r="C554" s="56" t="s">
        <v>594</v>
      </c>
      <c r="D554" s="67">
        <v>32900.0</v>
      </c>
      <c r="E554" s="56">
        <v>102.0</v>
      </c>
      <c r="F554" s="59">
        <f t="shared" si="6"/>
        <v>3355800</v>
      </c>
      <c r="G554" s="56">
        <v>107.0</v>
      </c>
      <c r="H554" s="59">
        <f t="shared" si="1"/>
        <v>3520300</v>
      </c>
      <c r="I554" s="39"/>
      <c r="J554" s="39"/>
      <c r="K554" s="60">
        <f t="shared" si="2"/>
        <v>0</v>
      </c>
      <c r="L554" s="56">
        <v>5.0</v>
      </c>
      <c r="M554" s="59">
        <f t="shared" si="3"/>
        <v>164500</v>
      </c>
      <c r="N554" s="69">
        <v>107.0</v>
      </c>
      <c r="O554" s="62">
        <f t="shared" si="4"/>
        <v>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4">
        <v>547.0</v>
      </c>
      <c r="C555" s="56" t="s">
        <v>595</v>
      </c>
      <c r="D555" s="67">
        <v>7500.0</v>
      </c>
      <c r="E555" s="56">
        <v>16.0</v>
      </c>
      <c r="F555" s="59">
        <f t="shared" si="6"/>
        <v>120000</v>
      </c>
      <c r="G555" s="56">
        <v>16.0</v>
      </c>
      <c r="H555" s="59">
        <f t="shared" si="1"/>
        <v>120000</v>
      </c>
      <c r="I555" s="39"/>
      <c r="J555" s="39"/>
      <c r="K555" s="60">
        <f t="shared" si="2"/>
        <v>0</v>
      </c>
      <c r="L555" s="39"/>
      <c r="M555" s="59">
        <f t="shared" si="3"/>
        <v>0</v>
      </c>
      <c r="N555" s="69">
        <v>16.0</v>
      </c>
      <c r="O555" s="62">
        <f t="shared" si="4"/>
        <v>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4">
        <v>548.0</v>
      </c>
      <c r="C556" s="56" t="s">
        <v>596</v>
      </c>
      <c r="D556" s="67">
        <v>4750.0</v>
      </c>
      <c r="E556" s="56">
        <v>28.0</v>
      </c>
      <c r="F556" s="59">
        <f t="shared" si="6"/>
        <v>133000</v>
      </c>
      <c r="G556" s="56">
        <v>24.0</v>
      </c>
      <c r="H556" s="59">
        <f t="shared" si="1"/>
        <v>114000</v>
      </c>
      <c r="I556" s="39"/>
      <c r="J556" s="56">
        <v>4.0</v>
      </c>
      <c r="K556" s="60">
        <f t="shared" si="2"/>
        <v>19000</v>
      </c>
      <c r="L556" s="39"/>
      <c r="M556" s="59">
        <f t="shared" si="3"/>
        <v>0</v>
      </c>
      <c r="N556" s="69">
        <v>24.0</v>
      </c>
      <c r="O556" s="62">
        <f t="shared" si="4"/>
        <v>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4">
        <v>549.0</v>
      </c>
      <c r="C557" s="56" t="s">
        <v>597</v>
      </c>
      <c r="D557" s="67">
        <v>25000.0</v>
      </c>
      <c r="E557" s="56">
        <v>40.0</v>
      </c>
      <c r="F557" s="59">
        <f t="shared" si="6"/>
        <v>1000000</v>
      </c>
      <c r="G557" s="56">
        <v>40.0</v>
      </c>
      <c r="H557" s="59">
        <f t="shared" si="1"/>
        <v>1000000</v>
      </c>
      <c r="I557" s="39"/>
      <c r="J557" s="39"/>
      <c r="K557" s="60">
        <f t="shared" si="2"/>
        <v>0</v>
      </c>
      <c r="L557" s="39"/>
      <c r="M557" s="59">
        <f t="shared" si="3"/>
        <v>0</v>
      </c>
      <c r="N557" s="69">
        <v>40.0</v>
      </c>
      <c r="O557" s="62">
        <f t="shared" si="4"/>
        <v>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4">
        <v>550.0</v>
      </c>
      <c r="C558" s="56" t="s">
        <v>598</v>
      </c>
      <c r="D558" s="67">
        <v>7500.0</v>
      </c>
      <c r="E558" s="56">
        <v>3.0</v>
      </c>
      <c r="F558" s="59">
        <f t="shared" si="6"/>
        <v>22500</v>
      </c>
      <c r="G558" s="56">
        <v>3.0</v>
      </c>
      <c r="H558" s="59">
        <f t="shared" si="1"/>
        <v>22500</v>
      </c>
      <c r="I558" s="39"/>
      <c r="J558" s="39"/>
      <c r="K558" s="60">
        <f t="shared" si="2"/>
        <v>0</v>
      </c>
      <c r="L558" s="39"/>
      <c r="M558" s="59">
        <f t="shared" si="3"/>
        <v>0</v>
      </c>
      <c r="N558" s="69">
        <v>3.0</v>
      </c>
      <c r="O558" s="62">
        <f t="shared" si="4"/>
        <v>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4">
        <v>551.0</v>
      </c>
      <c r="C559" s="56" t="s">
        <v>599</v>
      </c>
      <c r="D559" s="67">
        <v>6500.0</v>
      </c>
      <c r="E559" s="56">
        <v>66.0</v>
      </c>
      <c r="F559" s="59">
        <f t="shared" si="6"/>
        <v>429000</v>
      </c>
      <c r="G559" s="56">
        <v>66.0</v>
      </c>
      <c r="H559" s="59">
        <f t="shared" si="1"/>
        <v>429000</v>
      </c>
      <c r="I559" s="39"/>
      <c r="J559" s="39"/>
      <c r="K559" s="60">
        <f t="shared" si="2"/>
        <v>0</v>
      </c>
      <c r="L559" s="39"/>
      <c r="M559" s="59">
        <f t="shared" si="3"/>
        <v>0</v>
      </c>
      <c r="N559" s="69">
        <v>66.0</v>
      </c>
      <c r="O559" s="62">
        <f t="shared" si="4"/>
        <v>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4">
        <v>552.0</v>
      </c>
      <c r="C560" s="56" t="s">
        <v>600</v>
      </c>
      <c r="D560" s="67">
        <v>10000.0</v>
      </c>
      <c r="E560" s="56">
        <v>1.0</v>
      </c>
      <c r="F560" s="59">
        <f t="shared" si="6"/>
        <v>10000</v>
      </c>
      <c r="G560" s="56">
        <v>1.0</v>
      </c>
      <c r="H560" s="59">
        <f t="shared" si="1"/>
        <v>10000</v>
      </c>
      <c r="I560" s="39"/>
      <c r="J560" s="39"/>
      <c r="K560" s="60">
        <f t="shared" si="2"/>
        <v>0</v>
      </c>
      <c r="L560" s="39"/>
      <c r="M560" s="59">
        <f t="shared" si="3"/>
        <v>0</v>
      </c>
      <c r="N560" s="69">
        <v>1.0</v>
      </c>
      <c r="O560" s="62">
        <f t="shared" si="4"/>
        <v>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4">
        <v>553.0</v>
      </c>
      <c r="C561" s="56" t="s">
        <v>601</v>
      </c>
      <c r="D561" s="67">
        <v>7000.0</v>
      </c>
      <c r="E561" s="56">
        <v>30.0</v>
      </c>
      <c r="F561" s="59">
        <f t="shared" si="6"/>
        <v>210000</v>
      </c>
      <c r="G561" s="56">
        <v>30.0</v>
      </c>
      <c r="H561" s="59">
        <f t="shared" si="1"/>
        <v>210000</v>
      </c>
      <c r="I561" s="39"/>
      <c r="J561" s="39"/>
      <c r="K561" s="60">
        <f t="shared" si="2"/>
        <v>0</v>
      </c>
      <c r="L561" s="39"/>
      <c r="M561" s="59">
        <f t="shared" si="3"/>
        <v>0</v>
      </c>
      <c r="N561" s="69">
        <v>30.0</v>
      </c>
      <c r="O561" s="62">
        <f t="shared" si="4"/>
        <v>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4">
        <v>554.0</v>
      </c>
      <c r="C562" s="56" t="s">
        <v>602</v>
      </c>
      <c r="D562" s="67">
        <v>15000.0</v>
      </c>
      <c r="E562" s="56">
        <v>0.0</v>
      </c>
      <c r="F562" s="59">
        <f t="shared" si="6"/>
        <v>0</v>
      </c>
      <c r="G562" s="56">
        <v>0.0</v>
      </c>
      <c r="H562" s="59">
        <f t="shared" si="1"/>
        <v>0</v>
      </c>
      <c r="I562" s="39"/>
      <c r="J562" s="39"/>
      <c r="K562" s="60">
        <f t="shared" si="2"/>
        <v>0</v>
      </c>
      <c r="L562" s="39"/>
      <c r="M562" s="59">
        <f t="shared" si="3"/>
        <v>0</v>
      </c>
      <c r="N562" s="69">
        <v>0.0</v>
      </c>
      <c r="O562" s="62">
        <f t="shared" si="4"/>
        <v>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4">
        <v>555.0</v>
      </c>
      <c r="C563" s="56" t="s">
        <v>603</v>
      </c>
      <c r="D563" s="67">
        <v>13513.51</v>
      </c>
      <c r="E563" s="56">
        <v>1.0</v>
      </c>
      <c r="F563" s="59">
        <f t="shared" si="6"/>
        <v>13513.51</v>
      </c>
      <c r="G563" s="56">
        <v>1.0</v>
      </c>
      <c r="H563" s="59">
        <f t="shared" si="1"/>
        <v>13513.51</v>
      </c>
      <c r="I563" s="39"/>
      <c r="J563" s="39"/>
      <c r="K563" s="60">
        <f t="shared" si="2"/>
        <v>0</v>
      </c>
      <c r="L563" s="39"/>
      <c r="M563" s="59">
        <f t="shared" si="3"/>
        <v>0</v>
      </c>
      <c r="N563" s="69">
        <v>1.0</v>
      </c>
      <c r="O563" s="62">
        <f t="shared" si="4"/>
        <v>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4">
        <v>556.0</v>
      </c>
      <c r="C564" s="56" t="s">
        <v>604</v>
      </c>
      <c r="D564" s="67">
        <v>30000.0</v>
      </c>
      <c r="E564" s="56">
        <v>1.0</v>
      </c>
      <c r="F564" s="59">
        <f t="shared" si="6"/>
        <v>30000</v>
      </c>
      <c r="G564" s="56">
        <v>1.0</v>
      </c>
      <c r="H564" s="59">
        <f t="shared" si="1"/>
        <v>30000</v>
      </c>
      <c r="I564" s="39"/>
      <c r="J564" s="39"/>
      <c r="K564" s="60">
        <f t="shared" si="2"/>
        <v>0</v>
      </c>
      <c r="L564" s="39"/>
      <c r="M564" s="59">
        <f t="shared" si="3"/>
        <v>0</v>
      </c>
      <c r="N564" s="69">
        <v>1.0</v>
      </c>
      <c r="O564" s="62">
        <f t="shared" si="4"/>
        <v>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4">
        <v>557.0</v>
      </c>
      <c r="C565" s="56" t="s">
        <v>605</v>
      </c>
      <c r="D565" s="67">
        <v>50000.0</v>
      </c>
      <c r="E565" s="56">
        <v>5.0</v>
      </c>
      <c r="F565" s="59">
        <f t="shared" si="6"/>
        <v>250000</v>
      </c>
      <c r="G565" s="56">
        <v>5.0</v>
      </c>
      <c r="H565" s="59">
        <f t="shared" si="1"/>
        <v>250000</v>
      </c>
      <c r="I565" s="39"/>
      <c r="J565" s="39"/>
      <c r="K565" s="60">
        <f t="shared" si="2"/>
        <v>0</v>
      </c>
      <c r="L565" s="39"/>
      <c r="M565" s="59">
        <f t="shared" si="3"/>
        <v>0</v>
      </c>
      <c r="N565" s="69">
        <v>5.0</v>
      </c>
      <c r="O565" s="62">
        <f t="shared" si="4"/>
        <v>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4">
        <v>558.0</v>
      </c>
      <c r="C566" s="56" t="s">
        <v>606</v>
      </c>
      <c r="D566" s="67">
        <v>21000.0</v>
      </c>
      <c r="E566" s="56">
        <v>3.0</v>
      </c>
      <c r="F566" s="59">
        <f t="shared" si="6"/>
        <v>63000</v>
      </c>
      <c r="G566" s="56">
        <v>3.0</v>
      </c>
      <c r="H566" s="59">
        <f t="shared" si="1"/>
        <v>63000</v>
      </c>
      <c r="I566" s="39"/>
      <c r="J566" s="39"/>
      <c r="K566" s="60">
        <f t="shared" si="2"/>
        <v>0</v>
      </c>
      <c r="L566" s="39"/>
      <c r="M566" s="59">
        <f t="shared" si="3"/>
        <v>0</v>
      </c>
      <c r="N566" s="69">
        <v>3.0</v>
      </c>
      <c r="O566" s="62">
        <f t="shared" si="4"/>
        <v>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4">
        <v>559.0</v>
      </c>
      <c r="C567" s="56" t="s">
        <v>607</v>
      </c>
      <c r="D567" s="67">
        <v>15000.0</v>
      </c>
      <c r="E567" s="56">
        <v>2.0</v>
      </c>
      <c r="F567" s="59">
        <f t="shared" si="6"/>
        <v>30000</v>
      </c>
      <c r="G567" s="56">
        <v>2.0</v>
      </c>
      <c r="H567" s="59">
        <f t="shared" si="1"/>
        <v>30000</v>
      </c>
      <c r="I567" s="39"/>
      <c r="J567" s="39"/>
      <c r="K567" s="60">
        <f t="shared" si="2"/>
        <v>0</v>
      </c>
      <c r="L567" s="39"/>
      <c r="M567" s="59">
        <f t="shared" si="3"/>
        <v>0</v>
      </c>
      <c r="N567" s="69">
        <v>2.0</v>
      </c>
      <c r="O567" s="62">
        <f t="shared" si="4"/>
        <v>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4">
        <v>560.0</v>
      </c>
      <c r="C568" s="56" t="s">
        <v>608</v>
      </c>
      <c r="D568" s="67">
        <v>10000.0</v>
      </c>
      <c r="E568" s="56">
        <v>1.0</v>
      </c>
      <c r="F568" s="59">
        <f t="shared" si="6"/>
        <v>10000</v>
      </c>
      <c r="G568" s="56">
        <v>1.0</v>
      </c>
      <c r="H568" s="59">
        <f t="shared" si="1"/>
        <v>10000</v>
      </c>
      <c r="I568" s="39"/>
      <c r="J568" s="39"/>
      <c r="K568" s="60">
        <f t="shared" si="2"/>
        <v>0</v>
      </c>
      <c r="L568" s="39"/>
      <c r="M568" s="59">
        <f t="shared" si="3"/>
        <v>0</v>
      </c>
      <c r="N568" s="69">
        <v>1.0</v>
      </c>
      <c r="O568" s="62">
        <f t="shared" si="4"/>
        <v>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4">
        <v>561.0</v>
      </c>
      <c r="C569" s="56" t="s">
        <v>609</v>
      </c>
      <c r="D569" s="67">
        <v>5000.0</v>
      </c>
      <c r="E569" s="56">
        <v>9.0</v>
      </c>
      <c r="F569" s="59">
        <f t="shared" si="6"/>
        <v>45000</v>
      </c>
      <c r="G569" s="56">
        <v>0.0</v>
      </c>
      <c r="H569" s="59">
        <f t="shared" si="1"/>
        <v>0</v>
      </c>
      <c r="I569" s="39"/>
      <c r="J569" s="56">
        <v>9.0</v>
      </c>
      <c r="K569" s="60">
        <f t="shared" si="2"/>
        <v>45000</v>
      </c>
      <c r="L569" s="39"/>
      <c r="M569" s="59">
        <f t="shared" si="3"/>
        <v>0</v>
      </c>
      <c r="N569" s="69">
        <v>0.0</v>
      </c>
      <c r="O569" s="62">
        <f t="shared" si="4"/>
        <v>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4">
        <v>562.0</v>
      </c>
      <c r="C570" s="56" t="s">
        <v>610</v>
      </c>
      <c r="D570" s="67">
        <v>7000.0</v>
      </c>
      <c r="E570" s="56">
        <v>1.0</v>
      </c>
      <c r="F570" s="59">
        <f t="shared" si="6"/>
        <v>7000</v>
      </c>
      <c r="G570" s="56">
        <v>1.0</v>
      </c>
      <c r="H570" s="59">
        <f t="shared" si="1"/>
        <v>7000</v>
      </c>
      <c r="I570" s="39"/>
      <c r="J570" s="39"/>
      <c r="K570" s="60">
        <f t="shared" si="2"/>
        <v>0</v>
      </c>
      <c r="L570" s="39"/>
      <c r="M570" s="59">
        <f t="shared" si="3"/>
        <v>0</v>
      </c>
      <c r="N570" s="69">
        <v>1.0</v>
      </c>
      <c r="O570" s="62">
        <f t="shared" si="4"/>
        <v>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4">
        <v>563.0</v>
      </c>
      <c r="C571" s="56" t="s">
        <v>611</v>
      </c>
      <c r="D571" s="67">
        <v>533800.0</v>
      </c>
      <c r="E571" s="56">
        <v>1.0</v>
      </c>
      <c r="F571" s="59">
        <f t="shared" si="6"/>
        <v>533800</v>
      </c>
      <c r="G571" s="56">
        <v>1.0</v>
      </c>
      <c r="H571" s="59">
        <f t="shared" si="1"/>
        <v>533800</v>
      </c>
      <c r="I571" s="39"/>
      <c r="J571" s="39"/>
      <c r="K571" s="60">
        <f t="shared" si="2"/>
        <v>0</v>
      </c>
      <c r="L571" s="39"/>
      <c r="M571" s="59">
        <f t="shared" si="3"/>
        <v>0</v>
      </c>
      <c r="N571" s="69">
        <v>1.0</v>
      </c>
      <c r="O571" s="62">
        <f t="shared" si="4"/>
        <v>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4">
        <v>564.0</v>
      </c>
      <c r="C572" s="56" t="s">
        <v>612</v>
      </c>
      <c r="D572" s="67">
        <v>8000.0</v>
      </c>
      <c r="E572" s="56">
        <v>5.0</v>
      </c>
      <c r="F572" s="59">
        <f t="shared" si="6"/>
        <v>40000</v>
      </c>
      <c r="G572" s="56">
        <v>6.0</v>
      </c>
      <c r="H572" s="59">
        <f t="shared" si="1"/>
        <v>48000</v>
      </c>
      <c r="I572" s="39"/>
      <c r="J572" s="39"/>
      <c r="K572" s="60">
        <f t="shared" si="2"/>
        <v>0</v>
      </c>
      <c r="L572" s="56">
        <v>1.0</v>
      </c>
      <c r="M572" s="59">
        <f t="shared" si="3"/>
        <v>8000</v>
      </c>
      <c r="N572" s="69">
        <v>6.0</v>
      </c>
      <c r="O572" s="62">
        <f t="shared" si="4"/>
        <v>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4">
        <v>565.0</v>
      </c>
      <c r="C573" s="56" t="s">
        <v>613</v>
      </c>
      <c r="D573" s="67">
        <v>15000.0</v>
      </c>
      <c r="E573" s="56">
        <v>1.0</v>
      </c>
      <c r="F573" s="59">
        <f t="shared" si="6"/>
        <v>15000</v>
      </c>
      <c r="G573" s="56">
        <v>1.0</v>
      </c>
      <c r="H573" s="59">
        <f t="shared" si="1"/>
        <v>15000</v>
      </c>
      <c r="I573" s="39"/>
      <c r="J573" s="39"/>
      <c r="K573" s="60">
        <f t="shared" si="2"/>
        <v>0</v>
      </c>
      <c r="L573" s="39"/>
      <c r="M573" s="59">
        <f t="shared" si="3"/>
        <v>0</v>
      </c>
      <c r="N573" s="69">
        <v>1.0</v>
      </c>
      <c r="O573" s="62">
        <f t="shared" si="4"/>
        <v>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4">
        <v>566.0</v>
      </c>
      <c r="C574" s="56" t="s">
        <v>614</v>
      </c>
      <c r="D574" s="67">
        <v>8000.0</v>
      </c>
      <c r="E574" s="56">
        <v>8.0</v>
      </c>
      <c r="F574" s="59">
        <f t="shared" si="6"/>
        <v>64000</v>
      </c>
      <c r="G574" s="56">
        <v>8.0</v>
      </c>
      <c r="H574" s="59">
        <f t="shared" si="1"/>
        <v>64000</v>
      </c>
      <c r="I574" s="39"/>
      <c r="J574" s="39"/>
      <c r="K574" s="60">
        <f t="shared" si="2"/>
        <v>0</v>
      </c>
      <c r="L574" s="39"/>
      <c r="M574" s="59">
        <f t="shared" si="3"/>
        <v>0</v>
      </c>
      <c r="N574" s="69">
        <v>8.0</v>
      </c>
      <c r="O574" s="62">
        <f t="shared" si="4"/>
        <v>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4">
        <v>567.0</v>
      </c>
      <c r="C575" s="56" t="s">
        <v>615</v>
      </c>
      <c r="D575" s="67">
        <v>6000.0</v>
      </c>
      <c r="E575" s="56">
        <v>1.0</v>
      </c>
      <c r="F575" s="59">
        <f t="shared" si="6"/>
        <v>6000</v>
      </c>
      <c r="G575" s="56">
        <v>0.0</v>
      </c>
      <c r="H575" s="59">
        <f t="shared" si="1"/>
        <v>0</v>
      </c>
      <c r="I575" s="39"/>
      <c r="J575" s="56">
        <v>1.0</v>
      </c>
      <c r="K575" s="60">
        <f t="shared" si="2"/>
        <v>6000</v>
      </c>
      <c r="L575" s="39"/>
      <c r="M575" s="59">
        <f t="shared" si="3"/>
        <v>0</v>
      </c>
      <c r="N575" s="69">
        <v>0.0</v>
      </c>
      <c r="O575" s="62">
        <f t="shared" si="4"/>
        <v>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4">
        <v>568.0</v>
      </c>
      <c r="C576" s="56" t="s">
        <v>616</v>
      </c>
      <c r="D576" s="67">
        <v>7500.0</v>
      </c>
      <c r="E576" s="56">
        <v>11.0</v>
      </c>
      <c r="F576" s="59">
        <f t="shared" si="6"/>
        <v>82500</v>
      </c>
      <c r="G576" s="56">
        <v>11.0</v>
      </c>
      <c r="H576" s="59">
        <f t="shared" si="1"/>
        <v>82500</v>
      </c>
      <c r="I576" s="39"/>
      <c r="J576" s="39"/>
      <c r="K576" s="60">
        <f t="shared" si="2"/>
        <v>0</v>
      </c>
      <c r="L576" s="39"/>
      <c r="M576" s="59">
        <f t="shared" si="3"/>
        <v>0</v>
      </c>
      <c r="N576" s="69">
        <v>11.0</v>
      </c>
      <c r="O576" s="62">
        <f t="shared" si="4"/>
        <v>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4">
        <v>569.0</v>
      </c>
      <c r="C577" s="56" t="s">
        <v>617</v>
      </c>
      <c r="D577" s="67">
        <v>14500.0</v>
      </c>
      <c r="E577" s="56">
        <v>9.0</v>
      </c>
      <c r="F577" s="59">
        <f t="shared" si="6"/>
        <v>130500</v>
      </c>
      <c r="G577" s="56">
        <v>9.0</v>
      </c>
      <c r="H577" s="59">
        <f t="shared" si="1"/>
        <v>130500</v>
      </c>
      <c r="I577" s="39"/>
      <c r="J577" s="39"/>
      <c r="K577" s="60">
        <f t="shared" si="2"/>
        <v>0</v>
      </c>
      <c r="L577" s="39"/>
      <c r="M577" s="59">
        <f t="shared" si="3"/>
        <v>0</v>
      </c>
      <c r="N577" s="69">
        <v>9.0</v>
      </c>
      <c r="O577" s="62">
        <f t="shared" si="4"/>
        <v>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4">
        <v>570.0</v>
      </c>
      <c r="C578" s="56" t="s">
        <v>618</v>
      </c>
      <c r="D578" s="67">
        <v>12500.0</v>
      </c>
      <c r="E578" s="56">
        <v>6.0</v>
      </c>
      <c r="F578" s="59">
        <f t="shared" si="6"/>
        <v>75000</v>
      </c>
      <c r="G578" s="56">
        <v>6.0</v>
      </c>
      <c r="H578" s="59">
        <f t="shared" si="1"/>
        <v>75000</v>
      </c>
      <c r="I578" s="39"/>
      <c r="J578" s="39"/>
      <c r="K578" s="60">
        <f t="shared" si="2"/>
        <v>0</v>
      </c>
      <c r="L578" s="39"/>
      <c r="M578" s="59">
        <f t="shared" si="3"/>
        <v>0</v>
      </c>
      <c r="N578" s="69">
        <v>6.0</v>
      </c>
      <c r="O578" s="62">
        <f t="shared" si="4"/>
        <v>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4">
        <v>571.0</v>
      </c>
      <c r="C579" s="56" t="s">
        <v>619</v>
      </c>
      <c r="D579" s="67">
        <v>7500.0</v>
      </c>
      <c r="E579" s="56">
        <v>0.0</v>
      </c>
      <c r="F579" s="59">
        <f t="shared" si="6"/>
        <v>0</v>
      </c>
      <c r="G579" s="56">
        <v>0.0</v>
      </c>
      <c r="H579" s="59">
        <f t="shared" si="1"/>
        <v>0</v>
      </c>
      <c r="I579" s="39"/>
      <c r="J579" s="39"/>
      <c r="K579" s="60">
        <f t="shared" si="2"/>
        <v>0</v>
      </c>
      <c r="L579" s="39"/>
      <c r="M579" s="59">
        <f t="shared" si="3"/>
        <v>0</v>
      </c>
      <c r="N579" s="69">
        <v>0.0</v>
      </c>
      <c r="O579" s="62">
        <f t="shared" si="4"/>
        <v>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4">
        <v>572.0</v>
      </c>
      <c r="C580" s="56" t="s">
        <v>620</v>
      </c>
      <c r="D580" s="67">
        <v>6000.0</v>
      </c>
      <c r="E580" s="56">
        <v>3.0</v>
      </c>
      <c r="F580" s="59">
        <f t="shared" si="6"/>
        <v>18000</v>
      </c>
      <c r="G580" s="56">
        <v>3.0</v>
      </c>
      <c r="H580" s="59">
        <f t="shared" si="1"/>
        <v>18000</v>
      </c>
      <c r="I580" s="39"/>
      <c r="J580" s="39"/>
      <c r="K580" s="60">
        <f t="shared" si="2"/>
        <v>0</v>
      </c>
      <c r="L580" s="39"/>
      <c r="M580" s="59">
        <f t="shared" si="3"/>
        <v>0</v>
      </c>
      <c r="N580" s="69">
        <v>3.0</v>
      </c>
      <c r="O580" s="62">
        <f t="shared" si="4"/>
        <v>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4">
        <v>573.0</v>
      </c>
      <c r="C581" s="56" t="s">
        <v>621</v>
      </c>
      <c r="D581" s="67">
        <v>6000.0</v>
      </c>
      <c r="E581" s="56">
        <v>2.0</v>
      </c>
      <c r="F581" s="59">
        <f t="shared" si="6"/>
        <v>12000</v>
      </c>
      <c r="G581" s="56">
        <v>2.0</v>
      </c>
      <c r="H581" s="59">
        <f t="shared" si="1"/>
        <v>12000</v>
      </c>
      <c r="I581" s="39"/>
      <c r="J581" s="39"/>
      <c r="K581" s="60">
        <f t="shared" si="2"/>
        <v>0</v>
      </c>
      <c r="L581" s="39"/>
      <c r="M581" s="59">
        <f t="shared" si="3"/>
        <v>0</v>
      </c>
      <c r="N581" s="69">
        <v>2.0</v>
      </c>
      <c r="O581" s="62">
        <f t="shared" si="4"/>
        <v>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4">
        <v>574.0</v>
      </c>
      <c r="C582" s="56" t="s">
        <v>622</v>
      </c>
      <c r="D582" s="67">
        <v>6000.0</v>
      </c>
      <c r="E582" s="56">
        <v>8.0</v>
      </c>
      <c r="F582" s="59">
        <f t="shared" si="6"/>
        <v>48000</v>
      </c>
      <c r="G582" s="56">
        <v>8.0</v>
      </c>
      <c r="H582" s="59">
        <f t="shared" si="1"/>
        <v>48000</v>
      </c>
      <c r="I582" s="39"/>
      <c r="J582" s="39"/>
      <c r="K582" s="60">
        <f t="shared" si="2"/>
        <v>0</v>
      </c>
      <c r="L582" s="39"/>
      <c r="M582" s="59">
        <f t="shared" si="3"/>
        <v>0</v>
      </c>
      <c r="N582" s="69">
        <v>8.0</v>
      </c>
      <c r="O582" s="62">
        <f t="shared" si="4"/>
        <v>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4">
        <v>575.0</v>
      </c>
      <c r="C583" s="56" t="s">
        <v>623</v>
      </c>
      <c r="D583" s="67">
        <v>6000.0</v>
      </c>
      <c r="E583" s="56">
        <v>3.0</v>
      </c>
      <c r="F583" s="59">
        <f t="shared" si="6"/>
        <v>18000</v>
      </c>
      <c r="G583" s="56">
        <v>3.0</v>
      </c>
      <c r="H583" s="59">
        <f t="shared" si="1"/>
        <v>18000</v>
      </c>
      <c r="I583" s="39"/>
      <c r="J583" s="39"/>
      <c r="K583" s="60">
        <f t="shared" si="2"/>
        <v>0</v>
      </c>
      <c r="L583" s="39"/>
      <c r="M583" s="59">
        <f t="shared" si="3"/>
        <v>0</v>
      </c>
      <c r="N583" s="69">
        <v>3.0</v>
      </c>
      <c r="O583" s="62">
        <f t="shared" si="4"/>
        <v>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4">
        <v>576.0</v>
      </c>
      <c r="C584" s="56" t="s">
        <v>624</v>
      </c>
      <c r="D584" s="67">
        <v>6000.0</v>
      </c>
      <c r="E584" s="56">
        <v>25.0</v>
      </c>
      <c r="F584" s="59">
        <f t="shared" si="6"/>
        <v>150000</v>
      </c>
      <c r="G584" s="56">
        <v>25.0</v>
      </c>
      <c r="H584" s="59">
        <f t="shared" si="1"/>
        <v>150000</v>
      </c>
      <c r="I584" s="39"/>
      <c r="J584" s="39"/>
      <c r="K584" s="60">
        <f t="shared" si="2"/>
        <v>0</v>
      </c>
      <c r="L584" s="39"/>
      <c r="M584" s="59">
        <f t="shared" si="3"/>
        <v>0</v>
      </c>
      <c r="N584" s="69">
        <v>25.0</v>
      </c>
      <c r="O584" s="62">
        <f t="shared" si="4"/>
        <v>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4">
        <v>577.0</v>
      </c>
      <c r="C585" s="56" t="s">
        <v>625</v>
      </c>
      <c r="D585" s="67">
        <v>6000.0</v>
      </c>
      <c r="E585" s="56">
        <v>4.0</v>
      </c>
      <c r="F585" s="59">
        <f t="shared" si="6"/>
        <v>24000</v>
      </c>
      <c r="G585" s="56">
        <v>4.0</v>
      </c>
      <c r="H585" s="59">
        <f t="shared" si="1"/>
        <v>24000</v>
      </c>
      <c r="I585" s="39"/>
      <c r="J585" s="39"/>
      <c r="K585" s="60">
        <f t="shared" si="2"/>
        <v>0</v>
      </c>
      <c r="L585" s="39"/>
      <c r="M585" s="59">
        <f t="shared" si="3"/>
        <v>0</v>
      </c>
      <c r="N585" s="69">
        <v>4.0</v>
      </c>
      <c r="O585" s="62">
        <f t="shared" si="4"/>
        <v>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4">
        <v>578.0</v>
      </c>
      <c r="C586" s="56" t="s">
        <v>626</v>
      </c>
      <c r="D586" s="67">
        <v>10000.0</v>
      </c>
      <c r="E586" s="56">
        <v>1.0</v>
      </c>
      <c r="F586" s="59">
        <f t="shared" si="6"/>
        <v>10000</v>
      </c>
      <c r="G586" s="56">
        <v>1.0</v>
      </c>
      <c r="H586" s="59">
        <f t="shared" si="1"/>
        <v>10000</v>
      </c>
      <c r="I586" s="39"/>
      <c r="J586" s="39"/>
      <c r="K586" s="60">
        <f t="shared" si="2"/>
        <v>0</v>
      </c>
      <c r="L586" s="39"/>
      <c r="M586" s="59">
        <f t="shared" si="3"/>
        <v>0</v>
      </c>
      <c r="N586" s="69">
        <v>1.0</v>
      </c>
      <c r="O586" s="62">
        <f t="shared" si="4"/>
        <v>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4">
        <v>579.0</v>
      </c>
      <c r="C587" s="56" t="s">
        <v>627</v>
      </c>
      <c r="D587" s="67">
        <v>14500.0</v>
      </c>
      <c r="E587" s="56">
        <v>0.0</v>
      </c>
      <c r="F587" s="59">
        <f t="shared" si="6"/>
        <v>0</v>
      </c>
      <c r="G587" s="56">
        <v>0.0</v>
      </c>
      <c r="H587" s="59">
        <f t="shared" si="1"/>
        <v>0</v>
      </c>
      <c r="I587" s="39"/>
      <c r="J587" s="39"/>
      <c r="K587" s="60">
        <f t="shared" si="2"/>
        <v>0</v>
      </c>
      <c r="L587" s="39"/>
      <c r="M587" s="59">
        <f t="shared" si="3"/>
        <v>0</v>
      </c>
      <c r="N587" s="69">
        <v>0.0</v>
      </c>
      <c r="O587" s="62">
        <f t="shared" si="4"/>
        <v>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4">
        <v>580.0</v>
      </c>
      <c r="C588" s="56" t="s">
        <v>628</v>
      </c>
      <c r="D588" s="67">
        <v>8558.56</v>
      </c>
      <c r="E588" s="56">
        <v>14.0</v>
      </c>
      <c r="F588" s="59">
        <f t="shared" si="6"/>
        <v>119819.84</v>
      </c>
      <c r="G588" s="56">
        <v>14.0</v>
      </c>
      <c r="H588" s="59">
        <f t="shared" si="1"/>
        <v>119819.84</v>
      </c>
      <c r="I588" s="39"/>
      <c r="J588" s="39"/>
      <c r="K588" s="60">
        <f t="shared" si="2"/>
        <v>0</v>
      </c>
      <c r="L588" s="39"/>
      <c r="M588" s="59">
        <f t="shared" si="3"/>
        <v>0</v>
      </c>
      <c r="N588" s="69">
        <v>14.0</v>
      </c>
      <c r="O588" s="62">
        <f t="shared" si="4"/>
        <v>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4">
        <v>581.0</v>
      </c>
      <c r="C589" s="56" t="s">
        <v>629</v>
      </c>
      <c r="D589" s="67">
        <v>5000.0</v>
      </c>
      <c r="E589" s="56">
        <v>23.0</v>
      </c>
      <c r="F589" s="59">
        <f t="shared" si="6"/>
        <v>115000</v>
      </c>
      <c r="G589" s="56">
        <v>23.0</v>
      </c>
      <c r="H589" s="59">
        <f t="shared" si="1"/>
        <v>115000</v>
      </c>
      <c r="I589" s="39"/>
      <c r="J589" s="39"/>
      <c r="K589" s="60">
        <f t="shared" si="2"/>
        <v>0</v>
      </c>
      <c r="L589" s="39"/>
      <c r="M589" s="59">
        <f t="shared" si="3"/>
        <v>0</v>
      </c>
      <c r="N589" s="69">
        <v>23.0</v>
      </c>
      <c r="O589" s="62">
        <f t="shared" si="4"/>
        <v>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4">
        <v>582.0</v>
      </c>
      <c r="C590" s="56" t="s">
        <v>630</v>
      </c>
      <c r="D590" s="67">
        <v>4000.0</v>
      </c>
      <c r="E590" s="56">
        <v>1.0</v>
      </c>
      <c r="F590" s="59">
        <f t="shared" si="6"/>
        <v>4000</v>
      </c>
      <c r="G590" s="56">
        <v>1.0</v>
      </c>
      <c r="H590" s="59">
        <f t="shared" si="1"/>
        <v>4000</v>
      </c>
      <c r="I590" s="39"/>
      <c r="J590" s="39"/>
      <c r="K590" s="60">
        <f t="shared" si="2"/>
        <v>0</v>
      </c>
      <c r="L590" s="39"/>
      <c r="M590" s="59">
        <f t="shared" si="3"/>
        <v>0</v>
      </c>
      <c r="N590" s="69">
        <v>1.0</v>
      </c>
      <c r="O590" s="62">
        <f t="shared" si="4"/>
        <v>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4">
        <v>583.0</v>
      </c>
      <c r="C591" s="56" t="s">
        <v>631</v>
      </c>
      <c r="D591" s="67">
        <v>5400.0</v>
      </c>
      <c r="E591" s="56">
        <v>5.0</v>
      </c>
      <c r="F591" s="59">
        <f t="shared" si="6"/>
        <v>27000</v>
      </c>
      <c r="G591" s="56">
        <v>5.0</v>
      </c>
      <c r="H591" s="59">
        <f t="shared" si="1"/>
        <v>27000</v>
      </c>
      <c r="I591" s="39"/>
      <c r="J591" s="39"/>
      <c r="K591" s="60">
        <f t="shared" si="2"/>
        <v>0</v>
      </c>
      <c r="L591" s="39"/>
      <c r="M591" s="59">
        <f t="shared" si="3"/>
        <v>0</v>
      </c>
      <c r="N591" s="69">
        <v>5.0</v>
      </c>
      <c r="O591" s="62">
        <f t="shared" si="4"/>
        <v>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4">
        <v>584.0</v>
      </c>
      <c r="C592" s="56" t="s">
        <v>632</v>
      </c>
      <c r="D592" s="67">
        <v>5700.0</v>
      </c>
      <c r="E592" s="56">
        <v>1.0</v>
      </c>
      <c r="F592" s="59">
        <f t="shared" si="6"/>
        <v>5700</v>
      </c>
      <c r="G592" s="56">
        <v>1.0</v>
      </c>
      <c r="H592" s="59">
        <f t="shared" si="1"/>
        <v>5700</v>
      </c>
      <c r="I592" s="39"/>
      <c r="J592" s="39"/>
      <c r="K592" s="60">
        <f t="shared" si="2"/>
        <v>0</v>
      </c>
      <c r="L592" s="39"/>
      <c r="M592" s="59">
        <f t="shared" si="3"/>
        <v>0</v>
      </c>
      <c r="N592" s="69">
        <v>1.0</v>
      </c>
      <c r="O592" s="62">
        <f t="shared" si="4"/>
        <v>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4">
        <v>585.0</v>
      </c>
      <c r="C593" s="56" t="s">
        <v>633</v>
      </c>
      <c r="D593" s="67">
        <v>15000.0</v>
      </c>
      <c r="E593" s="56">
        <v>20.0</v>
      </c>
      <c r="F593" s="59">
        <f t="shared" si="6"/>
        <v>300000</v>
      </c>
      <c r="G593" s="56">
        <v>20.0</v>
      </c>
      <c r="H593" s="59">
        <f t="shared" si="1"/>
        <v>300000</v>
      </c>
      <c r="I593" s="39"/>
      <c r="J593" s="39"/>
      <c r="K593" s="60">
        <f t="shared" si="2"/>
        <v>0</v>
      </c>
      <c r="L593" s="39"/>
      <c r="M593" s="59">
        <f t="shared" si="3"/>
        <v>0</v>
      </c>
      <c r="N593" s="69">
        <v>20.0</v>
      </c>
      <c r="O593" s="62">
        <f t="shared" si="4"/>
        <v>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4">
        <v>586.0</v>
      </c>
      <c r="C594" s="56" t="s">
        <v>634</v>
      </c>
      <c r="D594" s="67">
        <v>9000.0</v>
      </c>
      <c r="E594" s="56">
        <v>68.0</v>
      </c>
      <c r="F594" s="59">
        <f t="shared" si="6"/>
        <v>612000</v>
      </c>
      <c r="G594" s="56">
        <v>38.0</v>
      </c>
      <c r="H594" s="59">
        <f t="shared" si="1"/>
        <v>342000</v>
      </c>
      <c r="I594" s="39"/>
      <c r="J594" s="56">
        <v>30.0</v>
      </c>
      <c r="K594" s="60">
        <f t="shared" si="2"/>
        <v>270000</v>
      </c>
      <c r="L594" s="39"/>
      <c r="M594" s="59">
        <f t="shared" si="3"/>
        <v>0</v>
      </c>
      <c r="N594" s="69">
        <v>38.0</v>
      </c>
      <c r="O594" s="62">
        <f t="shared" si="4"/>
        <v>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4">
        <v>587.0</v>
      </c>
      <c r="C595" s="56" t="s">
        <v>635</v>
      </c>
      <c r="D595" s="67">
        <v>7000.0</v>
      </c>
      <c r="E595" s="56">
        <v>102.0</v>
      </c>
      <c r="F595" s="59">
        <f t="shared" si="6"/>
        <v>714000</v>
      </c>
      <c r="G595" s="56">
        <v>134.0</v>
      </c>
      <c r="H595" s="59">
        <f t="shared" si="1"/>
        <v>938000</v>
      </c>
      <c r="I595" s="39"/>
      <c r="J595" s="39"/>
      <c r="K595" s="60">
        <f t="shared" si="2"/>
        <v>0</v>
      </c>
      <c r="L595" s="56">
        <v>32.0</v>
      </c>
      <c r="M595" s="59">
        <f t="shared" si="3"/>
        <v>224000</v>
      </c>
      <c r="N595" s="69">
        <v>134.0</v>
      </c>
      <c r="O595" s="62">
        <f t="shared" si="4"/>
        <v>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4">
        <v>588.0</v>
      </c>
      <c r="C596" s="56" t="s">
        <v>636</v>
      </c>
      <c r="D596" s="67">
        <v>11500.0</v>
      </c>
      <c r="E596" s="56">
        <v>35.0</v>
      </c>
      <c r="F596" s="59">
        <f t="shared" si="6"/>
        <v>402500</v>
      </c>
      <c r="G596" s="56">
        <v>35.0</v>
      </c>
      <c r="H596" s="59">
        <f t="shared" si="1"/>
        <v>402500</v>
      </c>
      <c r="I596" s="39"/>
      <c r="J596" s="39"/>
      <c r="K596" s="60">
        <f t="shared" si="2"/>
        <v>0</v>
      </c>
      <c r="L596" s="39"/>
      <c r="M596" s="59">
        <f t="shared" si="3"/>
        <v>0</v>
      </c>
      <c r="N596" s="69">
        <v>35.0</v>
      </c>
      <c r="O596" s="62">
        <f t="shared" si="4"/>
        <v>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4">
        <v>589.0</v>
      </c>
      <c r="C597" s="56" t="s">
        <v>637</v>
      </c>
      <c r="D597" s="67">
        <v>8558.56</v>
      </c>
      <c r="E597" s="56">
        <v>8.0</v>
      </c>
      <c r="F597" s="59">
        <f t="shared" si="6"/>
        <v>68468.48</v>
      </c>
      <c r="G597" s="56">
        <v>8.0</v>
      </c>
      <c r="H597" s="59">
        <f t="shared" si="1"/>
        <v>68468.48</v>
      </c>
      <c r="I597" s="39"/>
      <c r="J597" s="39"/>
      <c r="K597" s="60">
        <f t="shared" si="2"/>
        <v>0</v>
      </c>
      <c r="L597" s="39"/>
      <c r="M597" s="59">
        <f t="shared" si="3"/>
        <v>0</v>
      </c>
      <c r="N597" s="69">
        <v>8.0</v>
      </c>
      <c r="O597" s="62">
        <f t="shared" si="4"/>
        <v>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4">
        <v>590.0</v>
      </c>
      <c r="C598" s="56" t="s">
        <v>638</v>
      </c>
      <c r="D598" s="67">
        <v>7500.0</v>
      </c>
      <c r="E598" s="56">
        <v>1.0</v>
      </c>
      <c r="F598" s="59">
        <f t="shared" si="6"/>
        <v>7500</v>
      </c>
      <c r="G598" s="56">
        <v>1.0</v>
      </c>
      <c r="H598" s="59">
        <f t="shared" si="1"/>
        <v>7500</v>
      </c>
      <c r="I598" s="39"/>
      <c r="J598" s="39"/>
      <c r="K598" s="60">
        <f t="shared" si="2"/>
        <v>0</v>
      </c>
      <c r="L598" s="39"/>
      <c r="M598" s="59">
        <f t="shared" si="3"/>
        <v>0</v>
      </c>
      <c r="N598" s="69">
        <v>1.0</v>
      </c>
      <c r="O598" s="62">
        <f t="shared" si="4"/>
        <v>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4">
        <v>591.0</v>
      </c>
      <c r="C599" s="56" t="s">
        <v>639</v>
      </c>
      <c r="D599" s="67">
        <v>400.0</v>
      </c>
      <c r="E599" s="56">
        <v>687.0</v>
      </c>
      <c r="F599" s="59">
        <f t="shared" si="6"/>
        <v>274800</v>
      </c>
      <c r="G599" s="56">
        <v>687.0</v>
      </c>
      <c r="H599" s="59">
        <f t="shared" si="1"/>
        <v>274800</v>
      </c>
      <c r="I599" s="39"/>
      <c r="J599" s="39"/>
      <c r="K599" s="60">
        <f t="shared" si="2"/>
        <v>0</v>
      </c>
      <c r="L599" s="39"/>
      <c r="M599" s="59">
        <f t="shared" si="3"/>
        <v>0</v>
      </c>
      <c r="N599" s="69">
        <v>687.0</v>
      </c>
      <c r="O599" s="62">
        <f t="shared" si="4"/>
        <v>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4">
        <v>592.0</v>
      </c>
      <c r="C600" s="56" t="s">
        <v>640</v>
      </c>
      <c r="D600" s="67">
        <v>439000.0</v>
      </c>
      <c r="E600" s="56">
        <v>1.0</v>
      </c>
      <c r="F600" s="59">
        <f t="shared" si="6"/>
        <v>439000</v>
      </c>
      <c r="G600" s="56">
        <v>1.0</v>
      </c>
      <c r="H600" s="59">
        <f t="shared" si="1"/>
        <v>439000</v>
      </c>
      <c r="I600" s="39"/>
      <c r="J600" s="39"/>
      <c r="K600" s="60">
        <f t="shared" si="2"/>
        <v>0</v>
      </c>
      <c r="L600" s="39"/>
      <c r="M600" s="59">
        <f t="shared" si="3"/>
        <v>0</v>
      </c>
      <c r="N600" s="69">
        <v>1.0</v>
      </c>
      <c r="O600" s="62">
        <f t="shared" si="4"/>
        <v>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4">
        <v>593.0</v>
      </c>
      <c r="C601" s="56" t="s">
        <v>641</v>
      </c>
      <c r="D601" s="67">
        <v>14000.0</v>
      </c>
      <c r="E601" s="56">
        <v>7.0</v>
      </c>
      <c r="F601" s="59">
        <f t="shared" si="6"/>
        <v>98000</v>
      </c>
      <c r="G601" s="56">
        <v>7.0</v>
      </c>
      <c r="H601" s="59">
        <f t="shared" si="1"/>
        <v>98000</v>
      </c>
      <c r="I601" s="39"/>
      <c r="J601" s="39"/>
      <c r="K601" s="60">
        <f t="shared" si="2"/>
        <v>0</v>
      </c>
      <c r="L601" s="39"/>
      <c r="M601" s="59">
        <f t="shared" si="3"/>
        <v>0</v>
      </c>
      <c r="N601" s="69">
        <v>7.0</v>
      </c>
      <c r="O601" s="62">
        <f t="shared" si="4"/>
        <v>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4">
        <v>594.0</v>
      </c>
      <c r="C602" s="56" t="s">
        <v>642</v>
      </c>
      <c r="D602" s="67">
        <v>12000.0</v>
      </c>
      <c r="E602" s="56">
        <v>6.0</v>
      </c>
      <c r="F602" s="59">
        <f t="shared" si="6"/>
        <v>72000</v>
      </c>
      <c r="G602" s="56">
        <v>6.0</v>
      </c>
      <c r="H602" s="59">
        <f t="shared" si="1"/>
        <v>72000</v>
      </c>
      <c r="I602" s="39"/>
      <c r="J602" s="39"/>
      <c r="K602" s="60">
        <f t="shared" si="2"/>
        <v>0</v>
      </c>
      <c r="L602" s="39"/>
      <c r="M602" s="59">
        <f t="shared" si="3"/>
        <v>0</v>
      </c>
      <c r="N602" s="69">
        <v>6.0</v>
      </c>
      <c r="O602" s="62">
        <f t="shared" si="4"/>
        <v>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4">
        <v>595.0</v>
      </c>
      <c r="C603" s="56" t="s">
        <v>643</v>
      </c>
      <c r="D603" s="67">
        <v>10000.0</v>
      </c>
      <c r="E603" s="56">
        <v>9.0</v>
      </c>
      <c r="F603" s="59">
        <f t="shared" si="6"/>
        <v>90000</v>
      </c>
      <c r="G603" s="56">
        <v>9.0</v>
      </c>
      <c r="H603" s="59">
        <f t="shared" si="1"/>
        <v>90000</v>
      </c>
      <c r="I603" s="39"/>
      <c r="J603" s="39"/>
      <c r="K603" s="60">
        <f t="shared" si="2"/>
        <v>0</v>
      </c>
      <c r="L603" s="39"/>
      <c r="M603" s="59">
        <f t="shared" si="3"/>
        <v>0</v>
      </c>
      <c r="N603" s="69">
        <v>9.0</v>
      </c>
      <c r="O603" s="62">
        <f t="shared" si="4"/>
        <v>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4">
        <v>596.0</v>
      </c>
      <c r="C604" s="56" t="s">
        <v>644</v>
      </c>
      <c r="D604" s="67">
        <v>3600.0</v>
      </c>
      <c r="E604" s="56">
        <v>11.5</v>
      </c>
      <c r="F604" s="59">
        <f t="shared" si="6"/>
        <v>41400</v>
      </c>
      <c r="G604" s="56">
        <v>9.5</v>
      </c>
      <c r="H604" s="59">
        <f t="shared" si="1"/>
        <v>34200</v>
      </c>
      <c r="I604" s="39"/>
      <c r="J604" s="56">
        <v>2.0</v>
      </c>
      <c r="K604" s="60">
        <f t="shared" si="2"/>
        <v>7200</v>
      </c>
      <c r="L604" s="39"/>
      <c r="M604" s="59">
        <f t="shared" si="3"/>
        <v>0</v>
      </c>
      <c r="N604" s="69">
        <v>9.5</v>
      </c>
      <c r="O604" s="62">
        <f t="shared" si="4"/>
        <v>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4">
        <v>597.0</v>
      </c>
      <c r="C605" s="56" t="s">
        <v>645</v>
      </c>
      <c r="D605" s="67">
        <v>6000.0</v>
      </c>
      <c r="E605" s="56">
        <v>4.0</v>
      </c>
      <c r="F605" s="59">
        <f t="shared" si="6"/>
        <v>24000</v>
      </c>
      <c r="G605" s="56">
        <v>4.0</v>
      </c>
      <c r="H605" s="59">
        <f t="shared" si="1"/>
        <v>24000</v>
      </c>
      <c r="I605" s="39"/>
      <c r="J605" s="39"/>
      <c r="K605" s="60">
        <f t="shared" si="2"/>
        <v>0</v>
      </c>
      <c r="L605" s="39"/>
      <c r="M605" s="59">
        <f t="shared" si="3"/>
        <v>0</v>
      </c>
      <c r="N605" s="69">
        <v>4.0</v>
      </c>
      <c r="O605" s="62">
        <f t="shared" si="4"/>
        <v>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4">
        <v>598.0</v>
      </c>
      <c r="C606" s="56" t="s">
        <v>646</v>
      </c>
      <c r="D606" s="67">
        <v>500000.0</v>
      </c>
      <c r="E606" s="56">
        <v>1.0</v>
      </c>
      <c r="F606" s="59">
        <f t="shared" si="6"/>
        <v>500000</v>
      </c>
      <c r="G606" s="56">
        <v>1.0</v>
      </c>
      <c r="H606" s="59">
        <f t="shared" si="1"/>
        <v>500000</v>
      </c>
      <c r="I606" s="39"/>
      <c r="J606" s="39"/>
      <c r="K606" s="60">
        <f t="shared" si="2"/>
        <v>0</v>
      </c>
      <c r="L606" s="39"/>
      <c r="M606" s="59">
        <f t="shared" si="3"/>
        <v>0</v>
      </c>
      <c r="N606" s="69">
        <v>1.0</v>
      </c>
      <c r="O606" s="62">
        <f t="shared" si="4"/>
        <v>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4">
        <v>599.0</v>
      </c>
      <c r="C607" s="56" t="s">
        <v>647</v>
      </c>
      <c r="D607" s="67">
        <v>26112.61</v>
      </c>
      <c r="E607" s="56">
        <v>12.0</v>
      </c>
      <c r="F607" s="59">
        <f t="shared" si="6"/>
        <v>313351.32</v>
      </c>
      <c r="G607" s="56">
        <v>12.0</v>
      </c>
      <c r="H607" s="59">
        <f t="shared" si="1"/>
        <v>313351.32</v>
      </c>
      <c r="I607" s="39"/>
      <c r="J607" s="39"/>
      <c r="K607" s="60">
        <f t="shared" si="2"/>
        <v>0</v>
      </c>
      <c r="L607" s="39"/>
      <c r="M607" s="59">
        <f t="shared" si="3"/>
        <v>0</v>
      </c>
      <c r="N607" s="69">
        <v>12.0</v>
      </c>
      <c r="O607" s="62">
        <f t="shared" si="4"/>
        <v>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4">
        <v>600.0</v>
      </c>
      <c r="C608" s="56" t="s">
        <v>648</v>
      </c>
      <c r="D608" s="67">
        <v>25000.0</v>
      </c>
      <c r="E608" s="56">
        <v>2.0</v>
      </c>
      <c r="F608" s="59">
        <f t="shared" si="6"/>
        <v>50000</v>
      </c>
      <c r="G608" s="56">
        <v>2.0</v>
      </c>
      <c r="H608" s="59">
        <f t="shared" si="1"/>
        <v>50000</v>
      </c>
      <c r="I608" s="39"/>
      <c r="J608" s="39"/>
      <c r="K608" s="60">
        <f t="shared" si="2"/>
        <v>0</v>
      </c>
      <c r="L608" s="39"/>
      <c r="M608" s="59">
        <f t="shared" si="3"/>
        <v>0</v>
      </c>
      <c r="N608" s="69">
        <v>2.0</v>
      </c>
      <c r="O608" s="62">
        <f t="shared" si="4"/>
        <v>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4">
        <v>601.0</v>
      </c>
      <c r="C609" s="56" t="s">
        <v>649</v>
      </c>
      <c r="D609" s="67">
        <v>1000.0</v>
      </c>
      <c r="E609" s="56">
        <v>38.0</v>
      </c>
      <c r="F609" s="59">
        <f t="shared" si="6"/>
        <v>38000</v>
      </c>
      <c r="G609" s="56">
        <v>38.0</v>
      </c>
      <c r="H609" s="59">
        <f t="shared" si="1"/>
        <v>38000</v>
      </c>
      <c r="I609" s="39"/>
      <c r="J609" s="39"/>
      <c r="K609" s="60">
        <f t="shared" si="2"/>
        <v>0</v>
      </c>
      <c r="L609" s="39"/>
      <c r="M609" s="59">
        <f t="shared" si="3"/>
        <v>0</v>
      </c>
      <c r="N609" s="69">
        <v>38.0</v>
      </c>
      <c r="O609" s="62">
        <f t="shared" si="4"/>
        <v>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4">
        <v>602.0</v>
      </c>
      <c r="C610" s="56" t="s">
        <v>650</v>
      </c>
      <c r="D610" s="67">
        <v>299000.0</v>
      </c>
      <c r="E610" s="56">
        <v>3.0</v>
      </c>
      <c r="F610" s="59">
        <f t="shared" si="6"/>
        <v>897000</v>
      </c>
      <c r="G610" s="56">
        <v>3.0</v>
      </c>
      <c r="H610" s="59">
        <f t="shared" si="1"/>
        <v>897000</v>
      </c>
      <c r="I610" s="39"/>
      <c r="J610" s="39"/>
      <c r="K610" s="60">
        <f t="shared" si="2"/>
        <v>0</v>
      </c>
      <c r="L610" s="39"/>
      <c r="M610" s="59">
        <f t="shared" si="3"/>
        <v>0</v>
      </c>
      <c r="N610" s="69">
        <v>3.0</v>
      </c>
      <c r="O610" s="62">
        <f t="shared" si="4"/>
        <v>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4">
        <v>603.0</v>
      </c>
      <c r="C611" s="56" t="s">
        <v>651</v>
      </c>
      <c r="D611" s="67">
        <v>495000.0</v>
      </c>
      <c r="E611" s="56">
        <v>3.0</v>
      </c>
      <c r="F611" s="59">
        <f t="shared" si="6"/>
        <v>1485000</v>
      </c>
      <c r="G611" s="56">
        <v>3.0</v>
      </c>
      <c r="H611" s="59">
        <f t="shared" si="1"/>
        <v>1485000</v>
      </c>
      <c r="I611" s="39"/>
      <c r="J611" s="39"/>
      <c r="K611" s="60">
        <f t="shared" si="2"/>
        <v>0</v>
      </c>
      <c r="L611" s="39"/>
      <c r="M611" s="59">
        <f t="shared" si="3"/>
        <v>0</v>
      </c>
      <c r="N611" s="69">
        <v>3.0</v>
      </c>
      <c r="O611" s="62">
        <f t="shared" si="4"/>
        <v>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4">
        <v>604.0</v>
      </c>
      <c r="C612" s="56" t="s">
        <v>652</v>
      </c>
      <c r="D612" s="70"/>
      <c r="E612" s="56">
        <v>10.0</v>
      </c>
      <c r="F612" s="59">
        <f t="shared" si="6"/>
        <v>0</v>
      </c>
      <c r="G612" s="56">
        <v>10.0</v>
      </c>
      <c r="H612" s="59">
        <f t="shared" si="1"/>
        <v>0</v>
      </c>
      <c r="I612" s="39"/>
      <c r="J612" s="39"/>
      <c r="K612" s="60">
        <f t="shared" si="2"/>
        <v>0</v>
      </c>
      <c r="L612" s="39"/>
      <c r="M612" s="59">
        <f t="shared" si="3"/>
        <v>0</v>
      </c>
      <c r="N612" s="69">
        <v>10.0</v>
      </c>
      <c r="O612" s="62">
        <f t="shared" si="4"/>
        <v>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4">
        <v>605.0</v>
      </c>
      <c r="C613" s="56" t="s">
        <v>653</v>
      </c>
      <c r="D613" s="67">
        <v>7000.0</v>
      </c>
      <c r="E613" s="56">
        <v>7.0</v>
      </c>
      <c r="F613" s="59">
        <f t="shared" si="6"/>
        <v>49000</v>
      </c>
      <c r="G613" s="56">
        <v>7.0</v>
      </c>
      <c r="H613" s="59">
        <f t="shared" si="1"/>
        <v>49000</v>
      </c>
      <c r="I613" s="39"/>
      <c r="J613" s="39"/>
      <c r="K613" s="60">
        <f t="shared" si="2"/>
        <v>0</v>
      </c>
      <c r="L613" s="39"/>
      <c r="M613" s="59">
        <f t="shared" si="3"/>
        <v>0</v>
      </c>
      <c r="N613" s="69">
        <v>7.0</v>
      </c>
      <c r="O613" s="62">
        <f t="shared" si="4"/>
        <v>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4">
        <v>606.0</v>
      </c>
      <c r="C614" s="56" t="s">
        <v>654</v>
      </c>
      <c r="D614" s="67">
        <v>7000.0</v>
      </c>
      <c r="E614" s="56">
        <v>5.0</v>
      </c>
      <c r="F614" s="59">
        <f t="shared" si="6"/>
        <v>35000</v>
      </c>
      <c r="G614" s="56">
        <v>5.0</v>
      </c>
      <c r="H614" s="59">
        <f t="shared" si="1"/>
        <v>35000</v>
      </c>
      <c r="I614" s="39"/>
      <c r="J614" s="39"/>
      <c r="K614" s="60">
        <f t="shared" si="2"/>
        <v>0</v>
      </c>
      <c r="L614" s="39"/>
      <c r="M614" s="59">
        <f t="shared" si="3"/>
        <v>0</v>
      </c>
      <c r="N614" s="69">
        <v>5.0</v>
      </c>
      <c r="O614" s="62">
        <f t="shared" si="4"/>
        <v>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4">
        <v>607.0</v>
      </c>
      <c r="C615" s="56" t="s">
        <v>655</v>
      </c>
      <c r="D615" s="67">
        <v>7000.0</v>
      </c>
      <c r="E615" s="56">
        <v>2.0</v>
      </c>
      <c r="F615" s="59">
        <f t="shared" si="6"/>
        <v>14000</v>
      </c>
      <c r="G615" s="56">
        <v>2.0</v>
      </c>
      <c r="H615" s="59">
        <f t="shared" si="1"/>
        <v>14000</v>
      </c>
      <c r="I615" s="39"/>
      <c r="J615" s="39"/>
      <c r="K615" s="60">
        <f t="shared" si="2"/>
        <v>0</v>
      </c>
      <c r="L615" s="39"/>
      <c r="M615" s="59">
        <f t="shared" si="3"/>
        <v>0</v>
      </c>
      <c r="N615" s="69">
        <v>2.0</v>
      </c>
      <c r="O615" s="62">
        <f t="shared" si="4"/>
        <v>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4">
        <v>608.0</v>
      </c>
      <c r="C616" s="56" t="s">
        <v>656</v>
      </c>
      <c r="D616" s="67">
        <v>18500.0</v>
      </c>
      <c r="E616" s="56">
        <v>6.0</v>
      </c>
      <c r="F616" s="59">
        <f t="shared" si="6"/>
        <v>111000</v>
      </c>
      <c r="G616" s="56">
        <v>6.0</v>
      </c>
      <c r="H616" s="59">
        <f t="shared" si="1"/>
        <v>111000</v>
      </c>
      <c r="I616" s="39"/>
      <c r="J616" s="39"/>
      <c r="K616" s="60">
        <f t="shared" si="2"/>
        <v>0</v>
      </c>
      <c r="L616" s="39"/>
      <c r="M616" s="59">
        <f t="shared" si="3"/>
        <v>0</v>
      </c>
      <c r="N616" s="69">
        <v>6.0</v>
      </c>
      <c r="O616" s="62">
        <f t="shared" si="4"/>
        <v>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4">
        <v>609.0</v>
      </c>
      <c r="C617" s="56" t="s">
        <v>657</v>
      </c>
      <c r="D617" s="67">
        <v>2000.0</v>
      </c>
      <c r="E617" s="56">
        <v>4.0</v>
      </c>
      <c r="F617" s="59">
        <f t="shared" si="6"/>
        <v>8000</v>
      </c>
      <c r="G617" s="56">
        <v>4.0</v>
      </c>
      <c r="H617" s="59">
        <f t="shared" si="1"/>
        <v>8000</v>
      </c>
      <c r="I617" s="39"/>
      <c r="J617" s="39"/>
      <c r="K617" s="60">
        <f t="shared" si="2"/>
        <v>0</v>
      </c>
      <c r="L617" s="39"/>
      <c r="M617" s="59">
        <f t="shared" si="3"/>
        <v>0</v>
      </c>
      <c r="N617" s="69">
        <v>4.0</v>
      </c>
      <c r="O617" s="62">
        <f t="shared" si="4"/>
        <v>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4">
        <v>610.0</v>
      </c>
      <c r="C618" s="56" t="s">
        <v>658</v>
      </c>
      <c r="D618" s="67">
        <v>9000.0</v>
      </c>
      <c r="E618" s="56">
        <v>14.0</v>
      </c>
      <c r="F618" s="59">
        <f t="shared" si="6"/>
        <v>126000</v>
      </c>
      <c r="G618" s="56">
        <v>14.0</v>
      </c>
      <c r="H618" s="59">
        <f t="shared" si="1"/>
        <v>126000</v>
      </c>
      <c r="I618" s="39"/>
      <c r="J618" s="39"/>
      <c r="K618" s="60">
        <f t="shared" si="2"/>
        <v>0</v>
      </c>
      <c r="L618" s="39"/>
      <c r="M618" s="59">
        <f t="shared" si="3"/>
        <v>0</v>
      </c>
      <c r="N618" s="69">
        <v>14.0</v>
      </c>
      <c r="O618" s="62">
        <f t="shared" si="4"/>
        <v>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4">
        <v>611.0</v>
      </c>
      <c r="C619" s="56" t="s">
        <v>659</v>
      </c>
      <c r="D619" s="67">
        <v>3500.0</v>
      </c>
      <c r="E619" s="56">
        <v>4.0</v>
      </c>
      <c r="F619" s="59">
        <f t="shared" si="6"/>
        <v>14000</v>
      </c>
      <c r="G619" s="56">
        <v>2.0</v>
      </c>
      <c r="H619" s="59">
        <f t="shared" si="1"/>
        <v>7000</v>
      </c>
      <c r="I619" s="39"/>
      <c r="J619" s="56">
        <v>2.0</v>
      </c>
      <c r="K619" s="60">
        <f t="shared" si="2"/>
        <v>7000</v>
      </c>
      <c r="L619" s="39"/>
      <c r="M619" s="59">
        <f t="shared" si="3"/>
        <v>0</v>
      </c>
      <c r="N619" s="69">
        <v>2.0</v>
      </c>
      <c r="O619" s="62">
        <f t="shared" si="4"/>
        <v>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4">
        <v>612.0</v>
      </c>
      <c r="C620" s="56" t="s">
        <v>660</v>
      </c>
      <c r="D620" s="67">
        <v>12000.0</v>
      </c>
      <c r="E620" s="56">
        <v>5.0</v>
      </c>
      <c r="F620" s="59">
        <f t="shared" si="6"/>
        <v>60000</v>
      </c>
      <c r="G620" s="56">
        <v>5.0</v>
      </c>
      <c r="H620" s="59">
        <f t="shared" si="1"/>
        <v>60000</v>
      </c>
      <c r="I620" s="39"/>
      <c r="J620" s="39"/>
      <c r="K620" s="60">
        <f t="shared" si="2"/>
        <v>0</v>
      </c>
      <c r="L620" s="39"/>
      <c r="M620" s="59">
        <f t="shared" si="3"/>
        <v>0</v>
      </c>
      <c r="N620" s="69">
        <v>5.0</v>
      </c>
      <c r="O620" s="62">
        <f t="shared" si="4"/>
        <v>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4">
        <v>613.0</v>
      </c>
      <c r="C621" s="56" t="s">
        <v>661</v>
      </c>
      <c r="D621" s="67">
        <v>12000.0</v>
      </c>
      <c r="E621" s="56">
        <v>3.0</v>
      </c>
      <c r="F621" s="59">
        <f t="shared" si="6"/>
        <v>36000</v>
      </c>
      <c r="G621" s="56">
        <v>3.0</v>
      </c>
      <c r="H621" s="59">
        <f t="shared" si="1"/>
        <v>36000</v>
      </c>
      <c r="I621" s="39"/>
      <c r="J621" s="39"/>
      <c r="K621" s="60">
        <f t="shared" si="2"/>
        <v>0</v>
      </c>
      <c r="L621" s="39"/>
      <c r="M621" s="59">
        <f t="shared" si="3"/>
        <v>0</v>
      </c>
      <c r="N621" s="69">
        <v>3.0</v>
      </c>
      <c r="O621" s="62">
        <f t="shared" si="4"/>
        <v>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4">
        <v>614.0</v>
      </c>
      <c r="C622" s="56" t="s">
        <v>662</v>
      </c>
      <c r="D622" s="67">
        <v>25000.0</v>
      </c>
      <c r="E622" s="56">
        <v>9.0</v>
      </c>
      <c r="F622" s="59">
        <f t="shared" si="6"/>
        <v>225000</v>
      </c>
      <c r="G622" s="56">
        <v>9.0</v>
      </c>
      <c r="H622" s="59">
        <f t="shared" si="1"/>
        <v>225000</v>
      </c>
      <c r="I622" s="39"/>
      <c r="J622" s="39"/>
      <c r="K622" s="60">
        <f t="shared" si="2"/>
        <v>0</v>
      </c>
      <c r="L622" s="39"/>
      <c r="M622" s="59">
        <f t="shared" si="3"/>
        <v>0</v>
      </c>
      <c r="N622" s="69">
        <v>9.0</v>
      </c>
      <c r="O622" s="62">
        <f t="shared" si="4"/>
        <v>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4">
        <v>615.0</v>
      </c>
      <c r="C623" s="56" t="s">
        <v>663</v>
      </c>
      <c r="D623" s="67">
        <v>142092.79</v>
      </c>
      <c r="E623" s="56">
        <v>7.0</v>
      </c>
      <c r="F623" s="59">
        <f t="shared" si="6"/>
        <v>994649.53</v>
      </c>
      <c r="G623" s="56">
        <v>7.0</v>
      </c>
      <c r="H623" s="59">
        <f t="shared" si="1"/>
        <v>994649.53</v>
      </c>
      <c r="I623" s="39"/>
      <c r="J623" s="39"/>
      <c r="K623" s="60">
        <f t="shared" si="2"/>
        <v>0</v>
      </c>
      <c r="L623" s="39"/>
      <c r="M623" s="59">
        <f t="shared" si="3"/>
        <v>0</v>
      </c>
      <c r="N623" s="69">
        <v>7.0</v>
      </c>
      <c r="O623" s="62">
        <f t="shared" si="4"/>
        <v>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4">
        <v>616.0</v>
      </c>
      <c r="C624" s="56" t="s">
        <v>664</v>
      </c>
      <c r="D624" s="67">
        <v>1576.58</v>
      </c>
      <c r="E624" s="56">
        <v>2.0</v>
      </c>
      <c r="F624" s="59">
        <f t="shared" si="6"/>
        <v>3153.16</v>
      </c>
      <c r="G624" s="56">
        <v>2.0</v>
      </c>
      <c r="H624" s="59">
        <f t="shared" si="1"/>
        <v>3153.16</v>
      </c>
      <c r="I624" s="39"/>
      <c r="J624" s="39"/>
      <c r="K624" s="60">
        <f t="shared" si="2"/>
        <v>0</v>
      </c>
      <c r="L624" s="39"/>
      <c r="M624" s="59">
        <f t="shared" si="3"/>
        <v>0</v>
      </c>
      <c r="N624" s="69">
        <v>2.0</v>
      </c>
      <c r="O624" s="62">
        <f t="shared" si="4"/>
        <v>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4">
        <v>617.0</v>
      </c>
      <c r="C625" s="56" t="s">
        <v>665</v>
      </c>
      <c r="D625" s="67">
        <v>2027.03</v>
      </c>
      <c r="E625" s="56">
        <v>0.0</v>
      </c>
      <c r="F625" s="59">
        <f t="shared" si="6"/>
        <v>0</v>
      </c>
      <c r="G625" s="56">
        <v>0.0</v>
      </c>
      <c r="H625" s="59">
        <f t="shared" si="1"/>
        <v>0</v>
      </c>
      <c r="I625" s="39"/>
      <c r="J625" s="39"/>
      <c r="K625" s="60">
        <f t="shared" si="2"/>
        <v>0</v>
      </c>
      <c r="L625" s="39"/>
      <c r="M625" s="59">
        <f t="shared" si="3"/>
        <v>0</v>
      </c>
      <c r="N625" s="69">
        <v>0.0</v>
      </c>
      <c r="O625" s="62">
        <f t="shared" si="4"/>
        <v>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4">
        <v>618.0</v>
      </c>
      <c r="C626" s="56" t="s">
        <v>666</v>
      </c>
      <c r="D626" s="67">
        <v>8400.0</v>
      </c>
      <c r="E626" s="56">
        <v>38.0</v>
      </c>
      <c r="F626" s="59">
        <f t="shared" si="6"/>
        <v>319200</v>
      </c>
      <c r="G626" s="56">
        <v>38.0</v>
      </c>
      <c r="H626" s="59">
        <f t="shared" si="1"/>
        <v>319200</v>
      </c>
      <c r="I626" s="39"/>
      <c r="J626" s="39"/>
      <c r="K626" s="60">
        <f t="shared" si="2"/>
        <v>0</v>
      </c>
      <c r="L626" s="39"/>
      <c r="M626" s="59">
        <f t="shared" si="3"/>
        <v>0</v>
      </c>
      <c r="N626" s="69">
        <v>38.0</v>
      </c>
      <c r="O626" s="62">
        <f t="shared" si="4"/>
        <v>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4">
        <v>619.0</v>
      </c>
      <c r="C627" s="56" t="s">
        <v>667</v>
      </c>
      <c r="D627" s="67">
        <v>9000.0</v>
      </c>
      <c r="E627" s="56">
        <v>6.0</v>
      </c>
      <c r="F627" s="59">
        <f t="shared" si="6"/>
        <v>54000</v>
      </c>
      <c r="G627" s="56">
        <v>6.0</v>
      </c>
      <c r="H627" s="59">
        <f t="shared" si="1"/>
        <v>54000</v>
      </c>
      <c r="I627" s="39"/>
      <c r="J627" s="39"/>
      <c r="K627" s="60">
        <f t="shared" si="2"/>
        <v>0</v>
      </c>
      <c r="L627" s="39"/>
      <c r="M627" s="59">
        <f t="shared" si="3"/>
        <v>0</v>
      </c>
      <c r="N627" s="69">
        <v>6.0</v>
      </c>
      <c r="O627" s="62">
        <f t="shared" si="4"/>
        <v>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4">
        <v>620.0</v>
      </c>
      <c r="C628" s="56" t="s">
        <v>668</v>
      </c>
      <c r="D628" s="67">
        <v>1000.0</v>
      </c>
      <c r="E628" s="56">
        <v>73.0</v>
      </c>
      <c r="F628" s="59">
        <f t="shared" si="6"/>
        <v>73000</v>
      </c>
      <c r="G628" s="56">
        <v>73.0</v>
      </c>
      <c r="H628" s="59">
        <f t="shared" si="1"/>
        <v>73000</v>
      </c>
      <c r="I628" s="39"/>
      <c r="J628" s="39"/>
      <c r="K628" s="60">
        <f t="shared" si="2"/>
        <v>0</v>
      </c>
      <c r="L628" s="39"/>
      <c r="M628" s="59">
        <f t="shared" si="3"/>
        <v>0</v>
      </c>
      <c r="N628" s="69">
        <v>73.0</v>
      </c>
      <c r="O628" s="62">
        <f t="shared" si="4"/>
        <v>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4">
        <v>621.0</v>
      </c>
      <c r="C629" s="56" t="s">
        <v>669</v>
      </c>
      <c r="D629" s="67">
        <v>105500.0</v>
      </c>
      <c r="E629" s="56">
        <v>30.0</v>
      </c>
      <c r="F629" s="59">
        <f t="shared" si="6"/>
        <v>3165000</v>
      </c>
      <c r="G629" s="56">
        <v>30.0</v>
      </c>
      <c r="H629" s="59">
        <f t="shared" si="1"/>
        <v>3165000</v>
      </c>
      <c r="I629" s="39"/>
      <c r="J629" s="39"/>
      <c r="K629" s="60">
        <f t="shared" si="2"/>
        <v>0</v>
      </c>
      <c r="L629" s="39"/>
      <c r="M629" s="59">
        <f t="shared" si="3"/>
        <v>0</v>
      </c>
      <c r="N629" s="69">
        <v>30.0</v>
      </c>
      <c r="O629" s="62">
        <f t="shared" si="4"/>
        <v>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4">
        <v>622.0</v>
      </c>
      <c r="C630" s="56" t="s">
        <v>670</v>
      </c>
      <c r="D630" s="67">
        <v>125500.0</v>
      </c>
      <c r="E630" s="56">
        <v>1.0</v>
      </c>
      <c r="F630" s="59">
        <f t="shared" si="6"/>
        <v>125500</v>
      </c>
      <c r="G630" s="56">
        <v>39.0</v>
      </c>
      <c r="H630" s="59">
        <f t="shared" si="1"/>
        <v>4894500</v>
      </c>
      <c r="I630" s="39"/>
      <c r="J630" s="39"/>
      <c r="K630" s="60">
        <f t="shared" si="2"/>
        <v>0</v>
      </c>
      <c r="L630" s="56">
        <v>38.0</v>
      </c>
      <c r="M630" s="59">
        <f t="shared" si="3"/>
        <v>4769000</v>
      </c>
      <c r="N630" s="69">
        <v>39.0</v>
      </c>
      <c r="O630" s="62">
        <f t="shared" si="4"/>
        <v>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4">
        <v>623.0</v>
      </c>
      <c r="C631" s="56" t="s">
        <v>671</v>
      </c>
      <c r="D631" s="67">
        <v>137500.0</v>
      </c>
      <c r="E631" s="56">
        <v>3.0</v>
      </c>
      <c r="F631" s="59">
        <f t="shared" si="6"/>
        <v>412500</v>
      </c>
      <c r="G631" s="56">
        <v>3.0</v>
      </c>
      <c r="H631" s="59">
        <f t="shared" si="1"/>
        <v>412500</v>
      </c>
      <c r="I631" s="39"/>
      <c r="J631" s="39"/>
      <c r="K631" s="60">
        <f t="shared" si="2"/>
        <v>0</v>
      </c>
      <c r="L631" s="39"/>
      <c r="M631" s="59">
        <f t="shared" si="3"/>
        <v>0</v>
      </c>
      <c r="N631" s="69">
        <v>3.0</v>
      </c>
      <c r="O631" s="62">
        <f t="shared" si="4"/>
        <v>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4">
        <v>624.0</v>
      </c>
      <c r="C632" s="56" t="s">
        <v>672</v>
      </c>
      <c r="D632" s="67">
        <v>151500.0</v>
      </c>
      <c r="E632" s="56">
        <v>3.0</v>
      </c>
      <c r="F632" s="59">
        <f t="shared" si="6"/>
        <v>454500</v>
      </c>
      <c r="G632" s="56">
        <v>3.0</v>
      </c>
      <c r="H632" s="59">
        <f t="shared" si="1"/>
        <v>454500</v>
      </c>
      <c r="I632" s="39"/>
      <c r="J632" s="39"/>
      <c r="K632" s="60">
        <f t="shared" si="2"/>
        <v>0</v>
      </c>
      <c r="L632" s="39"/>
      <c r="M632" s="59">
        <f t="shared" si="3"/>
        <v>0</v>
      </c>
      <c r="N632" s="69">
        <v>3.0</v>
      </c>
      <c r="O632" s="62">
        <f t="shared" si="4"/>
        <v>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4">
        <v>625.0</v>
      </c>
      <c r="C633" s="56" t="s">
        <v>673</v>
      </c>
      <c r="D633" s="67">
        <v>165000.0</v>
      </c>
      <c r="E633" s="56">
        <v>1.0</v>
      </c>
      <c r="F633" s="59">
        <f t="shared" si="6"/>
        <v>165000</v>
      </c>
      <c r="G633" s="56">
        <v>1.0</v>
      </c>
      <c r="H633" s="59">
        <f t="shared" si="1"/>
        <v>165000</v>
      </c>
      <c r="I633" s="39"/>
      <c r="J633" s="39"/>
      <c r="K633" s="60">
        <f t="shared" si="2"/>
        <v>0</v>
      </c>
      <c r="L633" s="39"/>
      <c r="M633" s="59">
        <f t="shared" si="3"/>
        <v>0</v>
      </c>
      <c r="N633" s="69">
        <v>1.0</v>
      </c>
      <c r="O633" s="62">
        <f t="shared" si="4"/>
        <v>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4">
        <v>626.0</v>
      </c>
      <c r="C634" s="56" t="s">
        <v>674</v>
      </c>
      <c r="D634" s="67">
        <v>11700.0</v>
      </c>
      <c r="E634" s="56">
        <v>52.0</v>
      </c>
      <c r="F634" s="59">
        <f t="shared" si="6"/>
        <v>608400</v>
      </c>
      <c r="G634" s="56">
        <v>47.0</v>
      </c>
      <c r="H634" s="59">
        <f t="shared" si="1"/>
        <v>549900</v>
      </c>
      <c r="I634" s="39"/>
      <c r="J634" s="56">
        <v>5.0</v>
      </c>
      <c r="K634" s="60">
        <f t="shared" si="2"/>
        <v>58500</v>
      </c>
      <c r="L634" s="39"/>
      <c r="M634" s="59">
        <f t="shared" si="3"/>
        <v>0</v>
      </c>
      <c r="N634" s="69">
        <v>47.0</v>
      </c>
      <c r="O634" s="62">
        <f t="shared" si="4"/>
        <v>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4">
        <v>627.0</v>
      </c>
      <c r="C635" s="56" t="s">
        <v>675</v>
      </c>
      <c r="D635" s="67">
        <v>15000.0</v>
      </c>
      <c r="E635" s="56">
        <v>7.0</v>
      </c>
      <c r="F635" s="59">
        <f t="shared" si="6"/>
        <v>105000</v>
      </c>
      <c r="G635" s="56">
        <v>7.0</v>
      </c>
      <c r="H635" s="59">
        <f t="shared" si="1"/>
        <v>105000</v>
      </c>
      <c r="I635" s="39"/>
      <c r="J635" s="39"/>
      <c r="K635" s="60">
        <f t="shared" si="2"/>
        <v>0</v>
      </c>
      <c r="L635" s="39"/>
      <c r="M635" s="59">
        <f t="shared" si="3"/>
        <v>0</v>
      </c>
      <c r="N635" s="69">
        <v>7.0</v>
      </c>
      <c r="O635" s="62">
        <f t="shared" si="4"/>
        <v>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4">
        <v>628.0</v>
      </c>
      <c r="C636" s="56" t="s">
        <v>676</v>
      </c>
      <c r="D636" s="67">
        <v>20000.0</v>
      </c>
      <c r="E636" s="56">
        <v>1.0</v>
      </c>
      <c r="F636" s="59">
        <f t="shared" si="6"/>
        <v>20000</v>
      </c>
      <c r="G636" s="56">
        <v>1.0</v>
      </c>
      <c r="H636" s="59">
        <f t="shared" si="1"/>
        <v>20000</v>
      </c>
      <c r="I636" s="39"/>
      <c r="J636" s="39"/>
      <c r="K636" s="60">
        <f t="shared" si="2"/>
        <v>0</v>
      </c>
      <c r="L636" s="39"/>
      <c r="M636" s="59">
        <f t="shared" si="3"/>
        <v>0</v>
      </c>
      <c r="N636" s="69">
        <v>1.0</v>
      </c>
      <c r="O636" s="62">
        <f t="shared" si="4"/>
        <v>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4">
        <v>629.0</v>
      </c>
      <c r="C637" s="56" t="s">
        <v>677</v>
      </c>
      <c r="D637" s="67">
        <v>15765.77</v>
      </c>
      <c r="E637" s="56">
        <v>18.0</v>
      </c>
      <c r="F637" s="59">
        <f t="shared" si="6"/>
        <v>283783.86</v>
      </c>
      <c r="G637" s="56">
        <v>18.0</v>
      </c>
      <c r="H637" s="59">
        <f t="shared" si="1"/>
        <v>283783.86</v>
      </c>
      <c r="I637" s="39"/>
      <c r="J637" s="39"/>
      <c r="K637" s="60">
        <f t="shared" si="2"/>
        <v>0</v>
      </c>
      <c r="L637" s="39"/>
      <c r="M637" s="59">
        <f t="shared" si="3"/>
        <v>0</v>
      </c>
      <c r="N637" s="69">
        <v>18.0</v>
      </c>
      <c r="O637" s="62">
        <f t="shared" si="4"/>
        <v>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4">
        <v>630.0</v>
      </c>
      <c r="C638" s="56" t="s">
        <v>678</v>
      </c>
      <c r="D638" s="67">
        <v>1000.0</v>
      </c>
      <c r="E638" s="56">
        <v>38.0</v>
      </c>
      <c r="F638" s="59">
        <f t="shared" si="6"/>
        <v>38000</v>
      </c>
      <c r="G638" s="56">
        <v>38.0</v>
      </c>
      <c r="H638" s="59">
        <f t="shared" si="1"/>
        <v>38000</v>
      </c>
      <c r="I638" s="39"/>
      <c r="J638" s="39"/>
      <c r="K638" s="60">
        <f t="shared" si="2"/>
        <v>0</v>
      </c>
      <c r="L638" s="39"/>
      <c r="M638" s="59">
        <f t="shared" si="3"/>
        <v>0</v>
      </c>
      <c r="N638" s="69">
        <v>38.0</v>
      </c>
      <c r="O638" s="62">
        <f t="shared" si="4"/>
        <v>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4">
        <v>631.0</v>
      </c>
      <c r="C639" s="56" t="s">
        <v>679</v>
      </c>
      <c r="D639" s="67">
        <v>10000.0</v>
      </c>
      <c r="E639" s="56">
        <v>3.0</v>
      </c>
      <c r="F639" s="59">
        <f t="shared" si="6"/>
        <v>30000</v>
      </c>
      <c r="G639" s="56">
        <v>3.0</v>
      </c>
      <c r="H639" s="59">
        <f t="shared" si="1"/>
        <v>30000</v>
      </c>
      <c r="I639" s="39"/>
      <c r="J639" s="39"/>
      <c r="K639" s="60">
        <f t="shared" si="2"/>
        <v>0</v>
      </c>
      <c r="L639" s="39"/>
      <c r="M639" s="59">
        <f t="shared" si="3"/>
        <v>0</v>
      </c>
      <c r="N639" s="69">
        <v>3.0</v>
      </c>
      <c r="O639" s="62">
        <f t="shared" si="4"/>
        <v>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4">
        <v>632.0</v>
      </c>
      <c r="C640" s="56" t="s">
        <v>680</v>
      </c>
      <c r="D640" s="67">
        <v>147795.5</v>
      </c>
      <c r="E640" s="56">
        <v>22.0</v>
      </c>
      <c r="F640" s="59">
        <f t="shared" si="6"/>
        <v>3251501</v>
      </c>
      <c r="G640" s="56">
        <v>22.0</v>
      </c>
      <c r="H640" s="59">
        <f t="shared" si="1"/>
        <v>3251501</v>
      </c>
      <c r="I640" s="39"/>
      <c r="J640" s="39"/>
      <c r="K640" s="60">
        <f t="shared" si="2"/>
        <v>0</v>
      </c>
      <c r="L640" s="39"/>
      <c r="M640" s="59">
        <f t="shared" si="3"/>
        <v>0</v>
      </c>
      <c r="N640" s="69">
        <v>22.0</v>
      </c>
      <c r="O640" s="62">
        <f t="shared" si="4"/>
        <v>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4">
        <v>633.0</v>
      </c>
      <c r="C641" s="56" t="s">
        <v>681</v>
      </c>
      <c r="D641" s="67">
        <v>114529.73</v>
      </c>
      <c r="E641" s="56">
        <v>9.0</v>
      </c>
      <c r="F641" s="59">
        <f t="shared" si="6"/>
        <v>1030767.57</v>
      </c>
      <c r="G641" s="56">
        <v>9.0</v>
      </c>
      <c r="H641" s="59">
        <f t="shared" si="1"/>
        <v>1030767.57</v>
      </c>
      <c r="I641" s="39"/>
      <c r="J641" s="39"/>
      <c r="K641" s="60">
        <f t="shared" si="2"/>
        <v>0</v>
      </c>
      <c r="L641" s="39"/>
      <c r="M641" s="59">
        <f t="shared" si="3"/>
        <v>0</v>
      </c>
      <c r="N641" s="69">
        <v>9.0</v>
      </c>
      <c r="O641" s="62">
        <f t="shared" si="4"/>
        <v>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4">
        <v>634.0</v>
      </c>
      <c r="C642" s="56" t="s">
        <v>682</v>
      </c>
      <c r="D642" s="67">
        <v>96471.17</v>
      </c>
      <c r="E642" s="56">
        <v>117.0</v>
      </c>
      <c r="F642" s="59">
        <f t="shared" si="6"/>
        <v>11287126.89</v>
      </c>
      <c r="G642" s="56">
        <v>117.0</v>
      </c>
      <c r="H642" s="59">
        <f t="shared" si="1"/>
        <v>11287126.89</v>
      </c>
      <c r="I642" s="39"/>
      <c r="J642" s="39"/>
      <c r="K642" s="60">
        <f t="shared" si="2"/>
        <v>0</v>
      </c>
      <c r="L642" s="39"/>
      <c r="M642" s="59">
        <f t="shared" si="3"/>
        <v>0</v>
      </c>
      <c r="N642" s="69">
        <v>117.0</v>
      </c>
      <c r="O642" s="62">
        <f t="shared" si="4"/>
        <v>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4">
        <v>635.0</v>
      </c>
      <c r="C643" s="56" t="s">
        <v>683</v>
      </c>
      <c r="D643" s="67">
        <v>50000.0</v>
      </c>
      <c r="E643" s="56">
        <v>1.0</v>
      </c>
      <c r="F643" s="59">
        <f t="shared" si="6"/>
        <v>50000</v>
      </c>
      <c r="G643" s="56">
        <v>1.0</v>
      </c>
      <c r="H643" s="59">
        <f t="shared" si="1"/>
        <v>50000</v>
      </c>
      <c r="I643" s="39"/>
      <c r="J643" s="39"/>
      <c r="K643" s="60">
        <f t="shared" si="2"/>
        <v>0</v>
      </c>
      <c r="L643" s="39"/>
      <c r="M643" s="59">
        <f t="shared" si="3"/>
        <v>0</v>
      </c>
      <c r="N643" s="69">
        <v>1.0</v>
      </c>
      <c r="O643" s="62">
        <f t="shared" si="4"/>
        <v>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4">
        <v>636.0</v>
      </c>
      <c r="C644" s="56" t="s">
        <v>684</v>
      </c>
      <c r="D644" s="67">
        <v>85.0</v>
      </c>
      <c r="E644" s="56">
        <v>6.0</v>
      </c>
      <c r="F644" s="59">
        <f t="shared" si="6"/>
        <v>510</v>
      </c>
      <c r="G644" s="56">
        <v>6.0</v>
      </c>
      <c r="H644" s="59">
        <f t="shared" si="1"/>
        <v>510</v>
      </c>
      <c r="I644" s="39"/>
      <c r="J644" s="39"/>
      <c r="K644" s="60">
        <f t="shared" si="2"/>
        <v>0</v>
      </c>
      <c r="L644" s="39"/>
      <c r="M644" s="59">
        <f t="shared" si="3"/>
        <v>0</v>
      </c>
      <c r="N644" s="69">
        <v>6.0</v>
      </c>
      <c r="O644" s="62">
        <f t="shared" si="4"/>
        <v>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4">
        <v>637.0</v>
      </c>
      <c r="C645" s="56" t="s">
        <v>685</v>
      </c>
      <c r="D645" s="67">
        <v>85.0</v>
      </c>
      <c r="E645" s="56">
        <v>5500.0</v>
      </c>
      <c r="F645" s="59">
        <f t="shared" si="6"/>
        <v>467500</v>
      </c>
      <c r="G645" s="56">
        <v>5500.0</v>
      </c>
      <c r="H645" s="59">
        <f t="shared" si="1"/>
        <v>467500</v>
      </c>
      <c r="I645" s="39"/>
      <c r="J645" s="39"/>
      <c r="K645" s="60">
        <f t="shared" si="2"/>
        <v>0</v>
      </c>
      <c r="L645" s="39"/>
      <c r="M645" s="59">
        <f t="shared" si="3"/>
        <v>0</v>
      </c>
      <c r="N645" s="69">
        <v>5500.0</v>
      </c>
      <c r="O645" s="62">
        <f t="shared" si="4"/>
        <v>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4">
        <v>638.0</v>
      </c>
      <c r="C646" s="56" t="s">
        <v>686</v>
      </c>
      <c r="D646" s="67">
        <v>15776.0</v>
      </c>
      <c r="E646" s="56">
        <v>154.0</v>
      </c>
      <c r="F646" s="59">
        <f t="shared" si="6"/>
        <v>2429504</v>
      </c>
      <c r="G646" s="56">
        <v>154.0</v>
      </c>
      <c r="H646" s="59">
        <f t="shared" si="1"/>
        <v>2429504</v>
      </c>
      <c r="I646" s="39"/>
      <c r="J646" s="39"/>
      <c r="K646" s="60">
        <f t="shared" si="2"/>
        <v>0</v>
      </c>
      <c r="L646" s="39"/>
      <c r="M646" s="59">
        <f t="shared" si="3"/>
        <v>0</v>
      </c>
      <c r="N646" s="69">
        <v>154.0</v>
      </c>
      <c r="O646" s="62">
        <f t="shared" si="4"/>
        <v>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4">
        <v>639.0</v>
      </c>
      <c r="C647" s="56" t="s">
        <v>687</v>
      </c>
      <c r="D647" s="67">
        <v>600000.0</v>
      </c>
      <c r="E647" s="56">
        <v>2.0</v>
      </c>
      <c r="F647" s="59">
        <f t="shared" si="6"/>
        <v>1200000</v>
      </c>
      <c r="G647" s="56">
        <v>2.0</v>
      </c>
      <c r="H647" s="59">
        <f t="shared" si="1"/>
        <v>1200000</v>
      </c>
      <c r="I647" s="39"/>
      <c r="J647" s="39"/>
      <c r="K647" s="60">
        <f t="shared" si="2"/>
        <v>0</v>
      </c>
      <c r="L647" s="39"/>
      <c r="M647" s="59">
        <f t="shared" si="3"/>
        <v>0</v>
      </c>
      <c r="N647" s="69">
        <v>2.0</v>
      </c>
      <c r="O647" s="62">
        <f t="shared" si="4"/>
        <v>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4">
        <v>640.0</v>
      </c>
      <c r="C648" s="56" t="s">
        <v>688</v>
      </c>
      <c r="D648" s="67">
        <v>210000.0</v>
      </c>
      <c r="E648" s="56">
        <v>1.0</v>
      </c>
      <c r="F648" s="59">
        <f t="shared" si="6"/>
        <v>210000</v>
      </c>
      <c r="G648" s="56">
        <v>1.0</v>
      </c>
      <c r="H648" s="59">
        <f t="shared" si="1"/>
        <v>210000</v>
      </c>
      <c r="I648" s="39"/>
      <c r="J648" s="39"/>
      <c r="K648" s="60">
        <f t="shared" si="2"/>
        <v>0</v>
      </c>
      <c r="L648" s="39"/>
      <c r="M648" s="59">
        <f t="shared" si="3"/>
        <v>0</v>
      </c>
      <c r="N648" s="69">
        <v>1.0</v>
      </c>
      <c r="O648" s="62">
        <f t="shared" si="4"/>
        <v>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4">
        <v>641.0</v>
      </c>
      <c r="C649" s="56" t="s">
        <v>689</v>
      </c>
      <c r="D649" s="67">
        <v>780000.0</v>
      </c>
      <c r="E649" s="56">
        <v>1.0</v>
      </c>
      <c r="F649" s="59">
        <f t="shared" si="6"/>
        <v>780000</v>
      </c>
      <c r="G649" s="56">
        <v>1.0</v>
      </c>
      <c r="H649" s="59">
        <f t="shared" si="1"/>
        <v>780000</v>
      </c>
      <c r="I649" s="39"/>
      <c r="J649" s="39"/>
      <c r="K649" s="60">
        <f t="shared" si="2"/>
        <v>0</v>
      </c>
      <c r="L649" s="39"/>
      <c r="M649" s="59">
        <f t="shared" si="3"/>
        <v>0</v>
      </c>
      <c r="N649" s="69">
        <v>1.0</v>
      </c>
      <c r="O649" s="62">
        <f t="shared" si="4"/>
        <v>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4">
        <v>642.0</v>
      </c>
      <c r="C650" s="56" t="s">
        <v>690</v>
      </c>
      <c r="D650" s="67">
        <v>50000.0</v>
      </c>
      <c r="E650" s="56">
        <v>5.0</v>
      </c>
      <c r="F650" s="59">
        <f t="shared" si="6"/>
        <v>250000</v>
      </c>
      <c r="G650" s="56">
        <v>5.0</v>
      </c>
      <c r="H650" s="59">
        <f t="shared" si="1"/>
        <v>250000</v>
      </c>
      <c r="I650" s="39"/>
      <c r="J650" s="39"/>
      <c r="K650" s="60">
        <f t="shared" si="2"/>
        <v>0</v>
      </c>
      <c r="L650" s="39"/>
      <c r="M650" s="59">
        <f t="shared" si="3"/>
        <v>0</v>
      </c>
      <c r="N650" s="69">
        <v>5.0</v>
      </c>
      <c r="O650" s="62">
        <f t="shared" si="4"/>
        <v>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4">
        <v>643.0</v>
      </c>
      <c r="C651" s="56" t="s">
        <v>691</v>
      </c>
      <c r="D651" s="67">
        <v>285000.0</v>
      </c>
      <c r="E651" s="56">
        <v>5.0</v>
      </c>
      <c r="F651" s="59">
        <f t="shared" si="6"/>
        <v>1425000</v>
      </c>
      <c r="G651" s="56">
        <v>5.0</v>
      </c>
      <c r="H651" s="59">
        <f t="shared" si="1"/>
        <v>1425000</v>
      </c>
      <c r="I651" s="39"/>
      <c r="J651" s="39"/>
      <c r="K651" s="60">
        <f t="shared" si="2"/>
        <v>0</v>
      </c>
      <c r="L651" s="39"/>
      <c r="M651" s="59">
        <f t="shared" si="3"/>
        <v>0</v>
      </c>
      <c r="N651" s="69">
        <v>5.0</v>
      </c>
      <c r="O651" s="62">
        <f t="shared" si="4"/>
        <v>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4">
        <v>644.0</v>
      </c>
      <c r="C652" s="56" t="s">
        <v>692</v>
      </c>
      <c r="D652" s="67">
        <v>70000.0</v>
      </c>
      <c r="E652" s="56">
        <v>4.0</v>
      </c>
      <c r="F652" s="59">
        <f t="shared" si="6"/>
        <v>280000</v>
      </c>
      <c r="G652" s="56">
        <v>4.0</v>
      </c>
      <c r="H652" s="59">
        <f t="shared" si="1"/>
        <v>280000</v>
      </c>
      <c r="I652" s="39"/>
      <c r="J652" s="39"/>
      <c r="K652" s="60">
        <f t="shared" si="2"/>
        <v>0</v>
      </c>
      <c r="L652" s="39"/>
      <c r="M652" s="59">
        <f t="shared" si="3"/>
        <v>0</v>
      </c>
      <c r="N652" s="69">
        <v>4.0</v>
      </c>
      <c r="O652" s="62">
        <f t="shared" si="4"/>
        <v>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4">
        <v>645.0</v>
      </c>
      <c r="C653" s="56" t="s">
        <v>693</v>
      </c>
      <c r="D653" s="67">
        <v>1000.0</v>
      </c>
      <c r="E653" s="56">
        <v>46.0</v>
      </c>
      <c r="F653" s="59">
        <f t="shared" si="6"/>
        <v>46000</v>
      </c>
      <c r="G653" s="56">
        <v>37.0</v>
      </c>
      <c r="H653" s="59">
        <f t="shared" si="1"/>
        <v>37000</v>
      </c>
      <c r="I653" s="39"/>
      <c r="J653" s="56">
        <v>9.0</v>
      </c>
      <c r="K653" s="60">
        <f t="shared" si="2"/>
        <v>9000</v>
      </c>
      <c r="L653" s="39"/>
      <c r="M653" s="59">
        <f t="shared" si="3"/>
        <v>0</v>
      </c>
      <c r="N653" s="69">
        <v>37.0</v>
      </c>
      <c r="O653" s="62">
        <f t="shared" si="4"/>
        <v>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4">
        <v>646.0</v>
      </c>
      <c r="C654" s="56" t="s">
        <v>694</v>
      </c>
      <c r="D654" s="67">
        <v>35.0</v>
      </c>
      <c r="E654" s="56">
        <v>44.0</v>
      </c>
      <c r="F654" s="59">
        <f t="shared" si="6"/>
        <v>1540</v>
      </c>
      <c r="G654" s="56">
        <v>44.0</v>
      </c>
      <c r="H654" s="59">
        <f t="shared" si="1"/>
        <v>1540</v>
      </c>
      <c r="I654" s="39"/>
      <c r="J654" s="39"/>
      <c r="K654" s="60">
        <f t="shared" si="2"/>
        <v>0</v>
      </c>
      <c r="L654" s="39"/>
      <c r="M654" s="59">
        <f t="shared" si="3"/>
        <v>0</v>
      </c>
      <c r="N654" s="69">
        <v>44.0</v>
      </c>
      <c r="O654" s="62">
        <f t="shared" si="4"/>
        <v>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4">
        <v>647.0</v>
      </c>
      <c r="C655" s="56" t="s">
        <v>695</v>
      </c>
      <c r="D655" s="67">
        <v>12500.0</v>
      </c>
      <c r="E655" s="56">
        <v>8.0</v>
      </c>
      <c r="F655" s="59">
        <f t="shared" si="6"/>
        <v>100000</v>
      </c>
      <c r="G655" s="56">
        <v>8.0</v>
      </c>
      <c r="H655" s="59">
        <f t="shared" si="1"/>
        <v>100000</v>
      </c>
      <c r="I655" s="39"/>
      <c r="J655" s="39"/>
      <c r="K655" s="60">
        <f t="shared" si="2"/>
        <v>0</v>
      </c>
      <c r="L655" s="39"/>
      <c r="M655" s="59">
        <f t="shared" si="3"/>
        <v>0</v>
      </c>
      <c r="N655" s="69">
        <v>8.0</v>
      </c>
      <c r="O655" s="62">
        <f t="shared" si="4"/>
        <v>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4">
        <v>648.0</v>
      </c>
      <c r="C656" s="56" t="s">
        <v>696</v>
      </c>
      <c r="D656" s="67">
        <v>2500.0</v>
      </c>
      <c r="E656" s="56">
        <v>12.0</v>
      </c>
      <c r="F656" s="59">
        <f t="shared" si="6"/>
        <v>30000</v>
      </c>
      <c r="G656" s="56">
        <v>12.0</v>
      </c>
      <c r="H656" s="59">
        <f t="shared" si="1"/>
        <v>30000</v>
      </c>
      <c r="I656" s="39"/>
      <c r="J656" s="39"/>
      <c r="K656" s="60">
        <f t="shared" si="2"/>
        <v>0</v>
      </c>
      <c r="L656" s="39"/>
      <c r="M656" s="59">
        <f t="shared" si="3"/>
        <v>0</v>
      </c>
      <c r="N656" s="69">
        <v>12.0</v>
      </c>
      <c r="O656" s="62">
        <f t="shared" si="4"/>
        <v>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4">
        <v>649.0</v>
      </c>
      <c r="C657" s="56" t="s">
        <v>697</v>
      </c>
      <c r="D657" s="67">
        <v>33000.0</v>
      </c>
      <c r="E657" s="56">
        <v>8.0</v>
      </c>
      <c r="F657" s="59">
        <f t="shared" si="6"/>
        <v>264000</v>
      </c>
      <c r="G657" s="56">
        <v>9.0</v>
      </c>
      <c r="H657" s="59">
        <f t="shared" si="1"/>
        <v>297000</v>
      </c>
      <c r="I657" s="39"/>
      <c r="J657" s="56"/>
      <c r="K657" s="60">
        <f t="shared" si="2"/>
        <v>0</v>
      </c>
      <c r="L657" s="56">
        <v>1.0</v>
      </c>
      <c r="M657" s="59">
        <f t="shared" si="3"/>
        <v>33000</v>
      </c>
      <c r="N657" s="69">
        <v>9.0</v>
      </c>
      <c r="O657" s="62">
        <f t="shared" si="4"/>
        <v>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4">
        <v>650.0</v>
      </c>
      <c r="C658" s="56" t="s">
        <v>698</v>
      </c>
      <c r="D658" s="67">
        <v>2000.0</v>
      </c>
      <c r="E658" s="56">
        <v>19.0</v>
      </c>
      <c r="F658" s="59">
        <f t="shared" si="6"/>
        <v>38000</v>
      </c>
      <c r="G658" s="56">
        <v>19.0</v>
      </c>
      <c r="H658" s="59">
        <f t="shared" si="1"/>
        <v>38000</v>
      </c>
      <c r="I658" s="39"/>
      <c r="J658" s="39"/>
      <c r="K658" s="60">
        <f t="shared" si="2"/>
        <v>0</v>
      </c>
      <c r="L658" s="39"/>
      <c r="M658" s="59">
        <f t="shared" si="3"/>
        <v>0</v>
      </c>
      <c r="N658" s="69">
        <v>19.0</v>
      </c>
      <c r="O658" s="62">
        <f t="shared" si="4"/>
        <v>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4">
        <v>651.0</v>
      </c>
      <c r="C659" s="56" t="s">
        <v>699</v>
      </c>
      <c r="D659" s="67">
        <v>850.0</v>
      </c>
      <c r="E659" s="56">
        <v>894.0</v>
      </c>
      <c r="F659" s="59">
        <f t="shared" si="6"/>
        <v>759900</v>
      </c>
      <c r="G659" s="56">
        <v>894.0</v>
      </c>
      <c r="H659" s="59">
        <f t="shared" si="1"/>
        <v>759900</v>
      </c>
      <c r="I659" s="39"/>
      <c r="J659" s="39"/>
      <c r="K659" s="60">
        <f t="shared" si="2"/>
        <v>0</v>
      </c>
      <c r="L659" s="39"/>
      <c r="M659" s="59">
        <f t="shared" si="3"/>
        <v>0</v>
      </c>
      <c r="N659" s="69">
        <v>894.0</v>
      </c>
      <c r="O659" s="62">
        <f t="shared" si="4"/>
        <v>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4">
        <v>652.0</v>
      </c>
      <c r="C660" s="56" t="s">
        <v>700</v>
      </c>
      <c r="D660" s="67">
        <v>1500.0</v>
      </c>
      <c r="E660" s="56">
        <v>35.0</v>
      </c>
      <c r="F660" s="59">
        <f t="shared" si="6"/>
        <v>52500</v>
      </c>
      <c r="G660" s="56">
        <v>35.0</v>
      </c>
      <c r="H660" s="59">
        <f t="shared" si="1"/>
        <v>52500</v>
      </c>
      <c r="I660" s="39"/>
      <c r="J660" s="39"/>
      <c r="K660" s="60">
        <f t="shared" si="2"/>
        <v>0</v>
      </c>
      <c r="L660" s="39"/>
      <c r="M660" s="59">
        <f t="shared" si="3"/>
        <v>0</v>
      </c>
      <c r="N660" s="69">
        <v>35.0</v>
      </c>
      <c r="O660" s="62">
        <f t="shared" si="4"/>
        <v>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4">
        <v>653.0</v>
      </c>
      <c r="C661" s="56" t="s">
        <v>701</v>
      </c>
      <c r="D661" s="67">
        <v>5000.0</v>
      </c>
      <c r="E661" s="56">
        <v>32.0</v>
      </c>
      <c r="F661" s="59">
        <f t="shared" si="6"/>
        <v>160000</v>
      </c>
      <c r="G661" s="56">
        <v>32.0</v>
      </c>
      <c r="H661" s="59">
        <f t="shared" si="1"/>
        <v>160000</v>
      </c>
      <c r="I661" s="39"/>
      <c r="J661" s="39"/>
      <c r="K661" s="60">
        <f t="shared" si="2"/>
        <v>0</v>
      </c>
      <c r="L661" s="39"/>
      <c r="M661" s="59">
        <f t="shared" si="3"/>
        <v>0</v>
      </c>
      <c r="N661" s="69">
        <v>32.0</v>
      </c>
      <c r="O661" s="62">
        <f t="shared" si="4"/>
        <v>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4">
        <v>654.0</v>
      </c>
      <c r="C662" s="56" t="s">
        <v>702</v>
      </c>
      <c r="D662" s="67">
        <v>51.0</v>
      </c>
      <c r="E662" s="56">
        <v>568.0</v>
      </c>
      <c r="F662" s="59">
        <f t="shared" si="6"/>
        <v>28968</v>
      </c>
      <c r="G662" s="56">
        <v>568.0</v>
      </c>
      <c r="H662" s="59">
        <f t="shared" si="1"/>
        <v>28968</v>
      </c>
      <c r="I662" s="39"/>
      <c r="J662" s="39"/>
      <c r="K662" s="60">
        <f t="shared" si="2"/>
        <v>0</v>
      </c>
      <c r="L662" s="39"/>
      <c r="M662" s="59">
        <f t="shared" si="3"/>
        <v>0</v>
      </c>
      <c r="N662" s="69">
        <v>568.0</v>
      </c>
      <c r="O662" s="62">
        <f t="shared" si="4"/>
        <v>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4">
        <v>655.0</v>
      </c>
      <c r="C663" s="56" t="s">
        <v>703</v>
      </c>
      <c r="D663" s="67">
        <v>2500.0</v>
      </c>
      <c r="E663" s="56">
        <v>1.0</v>
      </c>
      <c r="F663" s="59">
        <f t="shared" si="6"/>
        <v>2500</v>
      </c>
      <c r="G663" s="56">
        <v>1.0</v>
      </c>
      <c r="H663" s="59">
        <f t="shared" si="1"/>
        <v>2500</v>
      </c>
      <c r="I663" s="39"/>
      <c r="J663" s="39"/>
      <c r="K663" s="60">
        <f t="shared" si="2"/>
        <v>0</v>
      </c>
      <c r="L663" s="39"/>
      <c r="M663" s="59">
        <f t="shared" si="3"/>
        <v>0</v>
      </c>
      <c r="N663" s="69">
        <v>1.0</v>
      </c>
      <c r="O663" s="62">
        <f t="shared" si="4"/>
        <v>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4">
        <v>656.0</v>
      </c>
      <c r="C664" s="56" t="s">
        <v>704</v>
      </c>
      <c r="D664" s="67">
        <v>1500.0</v>
      </c>
      <c r="E664" s="56">
        <v>4.0</v>
      </c>
      <c r="F664" s="59">
        <f t="shared" si="6"/>
        <v>6000</v>
      </c>
      <c r="G664" s="56">
        <v>4.0</v>
      </c>
      <c r="H664" s="59">
        <f t="shared" si="1"/>
        <v>6000</v>
      </c>
      <c r="I664" s="39"/>
      <c r="J664" s="39"/>
      <c r="K664" s="60">
        <f t="shared" si="2"/>
        <v>0</v>
      </c>
      <c r="L664" s="39"/>
      <c r="M664" s="59">
        <f t="shared" si="3"/>
        <v>0</v>
      </c>
      <c r="N664" s="69">
        <v>4.0</v>
      </c>
      <c r="O664" s="62">
        <f t="shared" si="4"/>
        <v>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4">
        <v>657.0</v>
      </c>
      <c r="C665" s="56" t="s">
        <v>705</v>
      </c>
      <c r="D665" s="67">
        <v>2000.0</v>
      </c>
      <c r="E665" s="56">
        <v>1.0</v>
      </c>
      <c r="F665" s="59">
        <f t="shared" si="6"/>
        <v>2000</v>
      </c>
      <c r="G665" s="56">
        <v>1.0</v>
      </c>
      <c r="H665" s="59">
        <f t="shared" si="1"/>
        <v>2000</v>
      </c>
      <c r="I665" s="39"/>
      <c r="J665" s="39"/>
      <c r="K665" s="60">
        <f t="shared" si="2"/>
        <v>0</v>
      </c>
      <c r="L665" s="39"/>
      <c r="M665" s="59">
        <f t="shared" si="3"/>
        <v>0</v>
      </c>
      <c r="N665" s="69">
        <v>1.0</v>
      </c>
      <c r="O665" s="62">
        <f t="shared" si="4"/>
        <v>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4">
        <v>658.0</v>
      </c>
      <c r="C666" s="56" t="s">
        <v>706</v>
      </c>
      <c r="D666" s="67">
        <v>9717.0</v>
      </c>
      <c r="E666" s="56">
        <v>2.0</v>
      </c>
      <c r="F666" s="59">
        <f t="shared" si="6"/>
        <v>19434</v>
      </c>
      <c r="G666" s="56">
        <v>2.0</v>
      </c>
      <c r="H666" s="59">
        <f t="shared" si="1"/>
        <v>19434</v>
      </c>
      <c r="I666" s="39"/>
      <c r="J666" s="39"/>
      <c r="K666" s="60">
        <f t="shared" si="2"/>
        <v>0</v>
      </c>
      <c r="L666" s="39"/>
      <c r="M666" s="59">
        <f t="shared" si="3"/>
        <v>0</v>
      </c>
      <c r="N666" s="69">
        <v>2.0</v>
      </c>
      <c r="O666" s="62">
        <f t="shared" si="4"/>
        <v>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4">
        <v>659.0</v>
      </c>
      <c r="C667" s="56" t="s">
        <v>707</v>
      </c>
      <c r="D667" s="67">
        <v>7000.0</v>
      </c>
      <c r="E667" s="56">
        <v>1.0</v>
      </c>
      <c r="F667" s="59">
        <f t="shared" si="6"/>
        <v>7000</v>
      </c>
      <c r="G667" s="56">
        <v>1.0</v>
      </c>
      <c r="H667" s="59">
        <f t="shared" si="1"/>
        <v>7000</v>
      </c>
      <c r="I667" s="39"/>
      <c r="J667" s="39"/>
      <c r="K667" s="60">
        <f t="shared" si="2"/>
        <v>0</v>
      </c>
      <c r="L667" s="39"/>
      <c r="M667" s="59">
        <f t="shared" si="3"/>
        <v>0</v>
      </c>
      <c r="N667" s="69">
        <v>1.0</v>
      </c>
      <c r="O667" s="62">
        <f t="shared" si="4"/>
        <v>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4">
        <v>660.0</v>
      </c>
      <c r="C668" s="56" t="s">
        <v>708</v>
      </c>
      <c r="D668" s="67">
        <v>8000.0</v>
      </c>
      <c r="E668" s="56">
        <v>0.0</v>
      </c>
      <c r="F668" s="59">
        <f t="shared" si="6"/>
        <v>0</v>
      </c>
      <c r="G668" s="56">
        <v>0.0</v>
      </c>
      <c r="H668" s="59">
        <f t="shared" si="1"/>
        <v>0</v>
      </c>
      <c r="I668" s="39"/>
      <c r="J668" s="39"/>
      <c r="K668" s="60">
        <f t="shared" si="2"/>
        <v>0</v>
      </c>
      <c r="L668" s="39"/>
      <c r="M668" s="59">
        <f t="shared" si="3"/>
        <v>0</v>
      </c>
      <c r="N668" s="69">
        <v>0.0</v>
      </c>
      <c r="O668" s="62">
        <f t="shared" si="4"/>
        <v>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4">
        <v>661.0</v>
      </c>
      <c r="C669" s="56" t="s">
        <v>709</v>
      </c>
      <c r="D669" s="67">
        <v>8000.0</v>
      </c>
      <c r="E669" s="56">
        <v>0.0</v>
      </c>
      <c r="F669" s="59">
        <f t="shared" si="6"/>
        <v>0</v>
      </c>
      <c r="G669" s="56">
        <v>0.0</v>
      </c>
      <c r="H669" s="59">
        <f t="shared" si="1"/>
        <v>0</v>
      </c>
      <c r="I669" s="39"/>
      <c r="J669" s="39"/>
      <c r="K669" s="60">
        <f t="shared" si="2"/>
        <v>0</v>
      </c>
      <c r="L669" s="39"/>
      <c r="M669" s="59">
        <f t="shared" si="3"/>
        <v>0</v>
      </c>
      <c r="N669" s="69">
        <v>0.0</v>
      </c>
      <c r="O669" s="62">
        <f t="shared" si="4"/>
        <v>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4">
        <v>662.0</v>
      </c>
      <c r="C670" s="56" t="s">
        <v>710</v>
      </c>
      <c r="D670" s="67">
        <v>14000.0</v>
      </c>
      <c r="E670" s="56">
        <v>2.0</v>
      </c>
      <c r="F670" s="59">
        <f t="shared" si="6"/>
        <v>28000</v>
      </c>
      <c r="G670" s="56">
        <v>2.0</v>
      </c>
      <c r="H670" s="59">
        <f t="shared" si="1"/>
        <v>28000</v>
      </c>
      <c r="I670" s="39"/>
      <c r="J670" s="39"/>
      <c r="K670" s="60">
        <f t="shared" si="2"/>
        <v>0</v>
      </c>
      <c r="L670" s="39"/>
      <c r="M670" s="59">
        <f t="shared" si="3"/>
        <v>0</v>
      </c>
      <c r="N670" s="69">
        <v>2.0</v>
      </c>
      <c r="O670" s="62">
        <f t="shared" si="4"/>
        <v>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4">
        <v>663.0</v>
      </c>
      <c r="C671" s="56" t="s">
        <v>711</v>
      </c>
      <c r="D671" s="67">
        <v>10000.0</v>
      </c>
      <c r="E671" s="56">
        <v>3.0</v>
      </c>
      <c r="F671" s="59">
        <f t="shared" si="6"/>
        <v>30000</v>
      </c>
      <c r="G671" s="56">
        <v>3.0</v>
      </c>
      <c r="H671" s="59">
        <f t="shared" si="1"/>
        <v>30000</v>
      </c>
      <c r="I671" s="39"/>
      <c r="J671" s="39"/>
      <c r="K671" s="60">
        <f t="shared" si="2"/>
        <v>0</v>
      </c>
      <c r="L671" s="39"/>
      <c r="M671" s="59">
        <f t="shared" si="3"/>
        <v>0</v>
      </c>
      <c r="N671" s="69">
        <v>3.0</v>
      </c>
      <c r="O671" s="62">
        <f t="shared" si="4"/>
        <v>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4">
        <v>664.0</v>
      </c>
      <c r="C672" s="56" t="s">
        <v>712</v>
      </c>
      <c r="D672" s="67">
        <v>12500.0</v>
      </c>
      <c r="E672" s="56">
        <v>7.0</v>
      </c>
      <c r="F672" s="59">
        <f t="shared" si="6"/>
        <v>87500</v>
      </c>
      <c r="G672" s="56">
        <v>7.0</v>
      </c>
      <c r="H672" s="59">
        <f t="shared" si="1"/>
        <v>87500</v>
      </c>
      <c r="I672" s="39"/>
      <c r="J672" s="39"/>
      <c r="K672" s="60">
        <f t="shared" si="2"/>
        <v>0</v>
      </c>
      <c r="L672" s="39"/>
      <c r="M672" s="59">
        <f t="shared" si="3"/>
        <v>0</v>
      </c>
      <c r="N672" s="69">
        <v>7.0</v>
      </c>
      <c r="O672" s="62">
        <f t="shared" si="4"/>
        <v>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4">
        <v>665.0</v>
      </c>
      <c r="C673" s="56" t="s">
        <v>713</v>
      </c>
      <c r="D673" s="67">
        <v>20500.0</v>
      </c>
      <c r="E673" s="56">
        <v>28.0</v>
      </c>
      <c r="F673" s="59">
        <f t="shared" si="6"/>
        <v>574000</v>
      </c>
      <c r="G673" s="56">
        <v>28.0</v>
      </c>
      <c r="H673" s="59">
        <f t="shared" si="1"/>
        <v>574000</v>
      </c>
      <c r="I673" s="39"/>
      <c r="J673" s="39"/>
      <c r="K673" s="60">
        <f t="shared" si="2"/>
        <v>0</v>
      </c>
      <c r="L673" s="39"/>
      <c r="M673" s="59">
        <f t="shared" si="3"/>
        <v>0</v>
      </c>
      <c r="N673" s="69">
        <v>28.0</v>
      </c>
      <c r="O673" s="62">
        <f t="shared" si="4"/>
        <v>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4">
        <v>666.0</v>
      </c>
      <c r="C674" s="56" t="s">
        <v>714</v>
      </c>
      <c r="D674" s="67">
        <v>500.0</v>
      </c>
      <c r="E674" s="56">
        <v>46.0</v>
      </c>
      <c r="F674" s="59">
        <f t="shared" si="6"/>
        <v>23000</v>
      </c>
      <c r="G674" s="56">
        <v>0.0</v>
      </c>
      <c r="H674" s="59">
        <f t="shared" si="1"/>
        <v>0</v>
      </c>
      <c r="I674" s="39"/>
      <c r="J674" s="56">
        <v>46.0</v>
      </c>
      <c r="K674" s="60">
        <f t="shared" si="2"/>
        <v>23000</v>
      </c>
      <c r="L674" s="39"/>
      <c r="M674" s="59">
        <f t="shared" si="3"/>
        <v>0</v>
      </c>
      <c r="N674" s="69">
        <v>0.0</v>
      </c>
      <c r="O674" s="62">
        <f t="shared" si="4"/>
        <v>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4">
        <v>667.0</v>
      </c>
      <c r="C675" s="56" t="s">
        <v>715</v>
      </c>
      <c r="D675" s="67">
        <v>3000.0</v>
      </c>
      <c r="E675" s="56">
        <v>2.0</v>
      </c>
      <c r="F675" s="59">
        <f t="shared" si="6"/>
        <v>6000</v>
      </c>
      <c r="G675" s="56">
        <v>2.0</v>
      </c>
      <c r="H675" s="59">
        <f t="shared" si="1"/>
        <v>6000</v>
      </c>
      <c r="I675" s="39"/>
      <c r="J675" s="39"/>
      <c r="K675" s="60">
        <f t="shared" si="2"/>
        <v>0</v>
      </c>
      <c r="L675" s="39"/>
      <c r="M675" s="59">
        <f t="shared" si="3"/>
        <v>0</v>
      </c>
      <c r="N675" s="69">
        <v>2.0</v>
      </c>
      <c r="O675" s="62">
        <f t="shared" si="4"/>
        <v>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4">
        <v>668.0</v>
      </c>
      <c r="C676" s="56" t="s">
        <v>716</v>
      </c>
      <c r="D676" s="67">
        <v>3000.0</v>
      </c>
      <c r="E676" s="56">
        <v>41.0</v>
      </c>
      <c r="F676" s="59">
        <f t="shared" si="6"/>
        <v>123000</v>
      </c>
      <c r="G676" s="56">
        <v>41.0</v>
      </c>
      <c r="H676" s="59">
        <f t="shared" si="1"/>
        <v>123000</v>
      </c>
      <c r="I676" s="39"/>
      <c r="J676" s="39"/>
      <c r="K676" s="60">
        <f t="shared" si="2"/>
        <v>0</v>
      </c>
      <c r="L676" s="39"/>
      <c r="M676" s="59">
        <f t="shared" si="3"/>
        <v>0</v>
      </c>
      <c r="N676" s="69">
        <v>41.0</v>
      </c>
      <c r="O676" s="62">
        <f t="shared" si="4"/>
        <v>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4">
        <v>669.0</v>
      </c>
      <c r="C677" s="56" t="s">
        <v>717</v>
      </c>
      <c r="D677" s="67">
        <v>1500.0</v>
      </c>
      <c r="E677" s="56">
        <v>1.0</v>
      </c>
      <c r="F677" s="59">
        <f t="shared" si="6"/>
        <v>1500</v>
      </c>
      <c r="G677" s="56">
        <v>1.0</v>
      </c>
      <c r="H677" s="59">
        <f t="shared" si="1"/>
        <v>1500</v>
      </c>
      <c r="I677" s="39"/>
      <c r="J677" s="39"/>
      <c r="K677" s="60">
        <f t="shared" si="2"/>
        <v>0</v>
      </c>
      <c r="L677" s="39"/>
      <c r="M677" s="59">
        <f t="shared" si="3"/>
        <v>0</v>
      </c>
      <c r="N677" s="69">
        <v>1.0</v>
      </c>
      <c r="O677" s="62">
        <f t="shared" si="4"/>
        <v>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4">
        <v>670.0</v>
      </c>
      <c r="C678" s="56" t="s">
        <v>718</v>
      </c>
      <c r="D678" s="67">
        <v>300.0</v>
      </c>
      <c r="E678" s="56">
        <v>3.0</v>
      </c>
      <c r="F678" s="59">
        <f t="shared" si="6"/>
        <v>900</v>
      </c>
      <c r="G678" s="56">
        <v>3.0</v>
      </c>
      <c r="H678" s="59">
        <f t="shared" si="1"/>
        <v>900</v>
      </c>
      <c r="I678" s="39"/>
      <c r="J678" s="39"/>
      <c r="K678" s="60">
        <f t="shared" si="2"/>
        <v>0</v>
      </c>
      <c r="L678" s="39"/>
      <c r="M678" s="59">
        <f t="shared" si="3"/>
        <v>0</v>
      </c>
      <c r="N678" s="69">
        <v>3.0</v>
      </c>
      <c r="O678" s="62">
        <f t="shared" si="4"/>
        <v>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4">
        <v>671.0</v>
      </c>
      <c r="C679" s="56" t="s">
        <v>719</v>
      </c>
      <c r="D679" s="70"/>
      <c r="E679" s="56">
        <v>16.0</v>
      </c>
      <c r="F679" s="59">
        <f t="shared" si="6"/>
        <v>0</v>
      </c>
      <c r="G679" s="56">
        <v>16.0</v>
      </c>
      <c r="H679" s="59">
        <f t="shared" si="1"/>
        <v>0</v>
      </c>
      <c r="I679" s="39"/>
      <c r="J679" s="39"/>
      <c r="K679" s="60">
        <f t="shared" si="2"/>
        <v>0</v>
      </c>
      <c r="L679" s="39"/>
      <c r="M679" s="59">
        <f t="shared" si="3"/>
        <v>0</v>
      </c>
      <c r="N679" s="69">
        <v>16.0</v>
      </c>
      <c r="O679" s="62">
        <f t="shared" si="4"/>
        <v>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4">
        <v>672.0</v>
      </c>
      <c r="C680" s="56" t="s">
        <v>720</v>
      </c>
      <c r="D680" s="67">
        <v>16666.67</v>
      </c>
      <c r="E680" s="56">
        <v>26.0</v>
      </c>
      <c r="F680" s="59">
        <f t="shared" si="6"/>
        <v>433333.42</v>
      </c>
      <c r="G680" s="56">
        <v>26.0</v>
      </c>
      <c r="H680" s="59">
        <f t="shared" si="1"/>
        <v>433333.42</v>
      </c>
      <c r="I680" s="39"/>
      <c r="J680" s="39"/>
      <c r="K680" s="60">
        <f t="shared" si="2"/>
        <v>0</v>
      </c>
      <c r="L680" s="39"/>
      <c r="M680" s="59">
        <f t="shared" si="3"/>
        <v>0</v>
      </c>
      <c r="N680" s="69">
        <v>26.0</v>
      </c>
      <c r="O680" s="62">
        <f t="shared" si="4"/>
        <v>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4">
        <v>673.0</v>
      </c>
      <c r="C681" s="56" t="s">
        <v>721</v>
      </c>
      <c r="D681" s="67">
        <v>45045.05</v>
      </c>
      <c r="E681" s="56">
        <v>3.0</v>
      </c>
      <c r="F681" s="59">
        <f t="shared" si="6"/>
        <v>135135.15</v>
      </c>
      <c r="G681" s="56">
        <v>3.0</v>
      </c>
      <c r="H681" s="59">
        <f t="shared" si="1"/>
        <v>135135.15</v>
      </c>
      <c r="I681" s="39"/>
      <c r="J681" s="39"/>
      <c r="K681" s="60">
        <f t="shared" si="2"/>
        <v>0</v>
      </c>
      <c r="L681" s="39"/>
      <c r="M681" s="59">
        <f t="shared" si="3"/>
        <v>0</v>
      </c>
      <c r="N681" s="69">
        <v>3.0</v>
      </c>
      <c r="O681" s="62">
        <f t="shared" si="4"/>
        <v>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4">
        <v>674.0</v>
      </c>
      <c r="C682" s="56" t="s">
        <v>722</v>
      </c>
      <c r="D682" s="67">
        <v>31531.53</v>
      </c>
      <c r="E682" s="56">
        <v>39.0</v>
      </c>
      <c r="F682" s="59">
        <f t="shared" si="6"/>
        <v>1229729.67</v>
      </c>
      <c r="G682" s="56">
        <v>39.0</v>
      </c>
      <c r="H682" s="59">
        <f t="shared" si="1"/>
        <v>1229729.67</v>
      </c>
      <c r="I682" s="39"/>
      <c r="J682" s="39"/>
      <c r="K682" s="60">
        <f t="shared" si="2"/>
        <v>0</v>
      </c>
      <c r="L682" s="39"/>
      <c r="M682" s="59">
        <f t="shared" si="3"/>
        <v>0</v>
      </c>
      <c r="N682" s="69">
        <v>39.0</v>
      </c>
      <c r="O682" s="62">
        <f t="shared" si="4"/>
        <v>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4">
        <v>675.0</v>
      </c>
      <c r="C683" s="56" t="s">
        <v>723</v>
      </c>
      <c r="D683" s="67">
        <v>168918.92</v>
      </c>
      <c r="E683" s="56">
        <v>5.0</v>
      </c>
      <c r="F683" s="59">
        <f t="shared" si="6"/>
        <v>844594.6</v>
      </c>
      <c r="G683" s="56">
        <v>5.0</v>
      </c>
      <c r="H683" s="59">
        <f t="shared" si="1"/>
        <v>844594.6</v>
      </c>
      <c r="I683" s="39"/>
      <c r="J683" s="39"/>
      <c r="K683" s="60">
        <f t="shared" si="2"/>
        <v>0</v>
      </c>
      <c r="L683" s="39"/>
      <c r="M683" s="59">
        <f t="shared" si="3"/>
        <v>0</v>
      </c>
      <c r="N683" s="69">
        <v>5.0</v>
      </c>
      <c r="O683" s="62">
        <f t="shared" si="4"/>
        <v>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4">
        <v>676.0</v>
      </c>
      <c r="C684" s="56" t="s">
        <v>724</v>
      </c>
      <c r="D684" s="67">
        <v>142092.79</v>
      </c>
      <c r="E684" s="56">
        <v>3.0</v>
      </c>
      <c r="F684" s="59">
        <f t="shared" si="6"/>
        <v>426278.37</v>
      </c>
      <c r="G684" s="56">
        <v>3.0</v>
      </c>
      <c r="H684" s="59">
        <f t="shared" si="1"/>
        <v>426278.37</v>
      </c>
      <c r="I684" s="39"/>
      <c r="J684" s="39"/>
      <c r="K684" s="60">
        <f t="shared" si="2"/>
        <v>0</v>
      </c>
      <c r="L684" s="39"/>
      <c r="M684" s="59">
        <f t="shared" si="3"/>
        <v>0</v>
      </c>
      <c r="N684" s="69">
        <v>3.0</v>
      </c>
      <c r="O684" s="62">
        <f t="shared" si="4"/>
        <v>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4">
        <v>677.0</v>
      </c>
      <c r="C685" s="56" t="s">
        <v>725</v>
      </c>
      <c r="D685" s="67">
        <v>138765.77</v>
      </c>
      <c r="E685" s="56">
        <v>3.0</v>
      </c>
      <c r="F685" s="59">
        <f t="shared" si="6"/>
        <v>416297.31</v>
      </c>
      <c r="G685" s="56">
        <v>3.0</v>
      </c>
      <c r="H685" s="59">
        <f t="shared" si="1"/>
        <v>416297.31</v>
      </c>
      <c r="I685" s="39"/>
      <c r="J685" s="39"/>
      <c r="K685" s="60">
        <f t="shared" si="2"/>
        <v>0</v>
      </c>
      <c r="L685" s="39"/>
      <c r="M685" s="59">
        <f t="shared" si="3"/>
        <v>0</v>
      </c>
      <c r="N685" s="69">
        <v>3.0</v>
      </c>
      <c r="O685" s="62">
        <f t="shared" si="4"/>
        <v>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4">
        <v>678.0</v>
      </c>
      <c r="C686" s="56" t="s">
        <v>726</v>
      </c>
      <c r="D686" s="67">
        <v>138765.77</v>
      </c>
      <c r="E686" s="56">
        <v>1.0</v>
      </c>
      <c r="F686" s="59">
        <f t="shared" si="6"/>
        <v>138765.77</v>
      </c>
      <c r="G686" s="56">
        <v>0.0</v>
      </c>
      <c r="H686" s="59">
        <f t="shared" si="1"/>
        <v>0</v>
      </c>
      <c r="I686" s="39"/>
      <c r="J686" s="56">
        <v>1.0</v>
      </c>
      <c r="K686" s="60">
        <f t="shared" si="2"/>
        <v>138765.77</v>
      </c>
      <c r="L686" s="39"/>
      <c r="M686" s="59">
        <f t="shared" si="3"/>
        <v>0</v>
      </c>
      <c r="N686" s="69">
        <v>0.0</v>
      </c>
      <c r="O686" s="62">
        <f t="shared" si="4"/>
        <v>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4">
        <v>679.0</v>
      </c>
      <c r="C687" s="56" t="s">
        <v>727</v>
      </c>
      <c r="D687" s="67">
        <v>315000.0</v>
      </c>
      <c r="E687" s="56">
        <v>2.0</v>
      </c>
      <c r="F687" s="59">
        <f t="shared" si="6"/>
        <v>630000</v>
      </c>
      <c r="G687" s="56">
        <v>4.0</v>
      </c>
      <c r="H687" s="59">
        <f t="shared" si="1"/>
        <v>1260000</v>
      </c>
      <c r="I687" s="39"/>
      <c r="J687" s="39"/>
      <c r="K687" s="60">
        <f t="shared" si="2"/>
        <v>0</v>
      </c>
      <c r="L687" s="56">
        <v>2.0</v>
      </c>
      <c r="M687" s="59">
        <f t="shared" si="3"/>
        <v>630000</v>
      </c>
      <c r="N687" s="69">
        <v>4.0</v>
      </c>
      <c r="O687" s="62">
        <f t="shared" si="4"/>
        <v>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4">
        <v>680.0</v>
      </c>
      <c r="C688" s="56" t="s">
        <v>728</v>
      </c>
      <c r="D688" s="67">
        <v>45000.0</v>
      </c>
      <c r="E688" s="56">
        <v>1.0</v>
      </c>
      <c r="F688" s="59">
        <f t="shared" si="6"/>
        <v>45000</v>
      </c>
      <c r="G688" s="56">
        <v>1.0</v>
      </c>
      <c r="H688" s="59">
        <f t="shared" si="1"/>
        <v>45000</v>
      </c>
      <c r="I688" s="39"/>
      <c r="J688" s="39"/>
      <c r="K688" s="60">
        <f t="shared" si="2"/>
        <v>0</v>
      </c>
      <c r="L688" s="39"/>
      <c r="M688" s="59">
        <f t="shared" si="3"/>
        <v>0</v>
      </c>
      <c r="N688" s="69">
        <v>1.0</v>
      </c>
      <c r="O688" s="62">
        <f t="shared" si="4"/>
        <v>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4">
        <v>681.0</v>
      </c>
      <c r="C689" s="56" t="s">
        <v>729</v>
      </c>
      <c r="D689" s="67">
        <v>15500.0</v>
      </c>
      <c r="E689" s="56">
        <v>5.0</v>
      </c>
      <c r="F689" s="59">
        <f t="shared" si="6"/>
        <v>77500</v>
      </c>
      <c r="G689" s="56">
        <v>5.0</v>
      </c>
      <c r="H689" s="59">
        <f t="shared" si="1"/>
        <v>77500</v>
      </c>
      <c r="I689" s="39"/>
      <c r="J689" s="39"/>
      <c r="K689" s="60">
        <f t="shared" si="2"/>
        <v>0</v>
      </c>
      <c r="L689" s="39"/>
      <c r="M689" s="59">
        <f t="shared" si="3"/>
        <v>0</v>
      </c>
      <c r="N689" s="69">
        <v>5.0</v>
      </c>
      <c r="O689" s="62">
        <f t="shared" si="4"/>
        <v>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4">
        <v>682.0</v>
      </c>
      <c r="C690" s="56" t="s">
        <v>730</v>
      </c>
      <c r="D690" s="67">
        <v>16666.67</v>
      </c>
      <c r="E690" s="56">
        <v>4.0</v>
      </c>
      <c r="F690" s="59">
        <f t="shared" si="6"/>
        <v>66666.68</v>
      </c>
      <c r="G690" s="56">
        <v>4.0</v>
      </c>
      <c r="H690" s="59">
        <f t="shared" si="1"/>
        <v>66666.68</v>
      </c>
      <c r="I690" s="39"/>
      <c r="J690" s="39"/>
      <c r="K690" s="60">
        <f t="shared" si="2"/>
        <v>0</v>
      </c>
      <c r="L690" s="39"/>
      <c r="M690" s="59">
        <f t="shared" si="3"/>
        <v>0</v>
      </c>
      <c r="N690" s="69">
        <v>4.0</v>
      </c>
      <c r="O690" s="62">
        <f t="shared" si="4"/>
        <v>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4">
        <v>683.0</v>
      </c>
      <c r="C691" s="56" t="s">
        <v>731</v>
      </c>
      <c r="D691" s="67">
        <v>24324.32</v>
      </c>
      <c r="E691" s="56">
        <v>4.0</v>
      </c>
      <c r="F691" s="59">
        <f t="shared" si="6"/>
        <v>97297.28</v>
      </c>
      <c r="G691" s="56">
        <v>4.0</v>
      </c>
      <c r="H691" s="59">
        <f t="shared" si="1"/>
        <v>97297.28</v>
      </c>
      <c r="I691" s="39"/>
      <c r="J691" s="39"/>
      <c r="K691" s="60">
        <f t="shared" si="2"/>
        <v>0</v>
      </c>
      <c r="L691" s="39"/>
      <c r="M691" s="59">
        <f t="shared" si="3"/>
        <v>0</v>
      </c>
      <c r="N691" s="69">
        <v>4.0</v>
      </c>
      <c r="O691" s="62">
        <f t="shared" si="4"/>
        <v>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4">
        <v>684.0</v>
      </c>
      <c r="C692" s="56" t="s">
        <v>732</v>
      </c>
      <c r="D692" s="67">
        <v>12612.61</v>
      </c>
      <c r="E692" s="56">
        <v>5.0</v>
      </c>
      <c r="F692" s="59">
        <f t="shared" si="6"/>
        <v>63063.05</v>
      </c>
      <c r="G692" s="56">
        <v>4.0</v>
      </c>
      <c r="H692" s="59">
        <f t="shared" si="1"/>
        <v>50450.44</v>
      </c>
      <c r="I692" s="39"/>
      <c r="J692" s="56">
        <v>1.0</v>
      </c>
      <c r="K692" s="60">
        <f t="shared" si="2"/>
        <v>12612.61</v>
      </c>
      <c r="L692" s="39"/>
      <c r="M692" s="59">
        <f t="shared" si="3"/>
        <v>0</v>
      </c>
      <c r="N692" s="69">
        <v>4.0</v>
      </c>
      <c r="O692" s="62">
        <f t="shared" si="4"/>
        <v>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4">
        <v>685.0</v>
      </c>
      <c r="C693" s="56" t="s">
        <v>733</v>
      </c>
      <c r="D693" s="67">
        <v>15000.0</v>
      </c>
      <c r="E693" s="56">
        <v>1.0</v>
      </c>
      <c r="F693" s="59">
        <f t="shared" si="6"/>
        <v>15000</v>
      </c>
      <c r="G693" s="56">
        <v>1.0</v>
      </c>
      <c r="H693" s="59">
        <f t="shared" si="1"/>
        <v>15000</v>
      </c>
      <c r="I693" s="39"/>
      <c r="J693" s="39"/>
      <c r="K693" s="60">
        <f t="shared" si="2"/>
        <v>0</v>
      </c>
      <c r="L693" s="39"/>
      <c r="M693" s="59">
        <f t="shared" si="3"/>
        <v>0</v>
      </c>
      <c r="N693" s="69">
        <v>1.0</v>
      </c>
      <c r="O693" s="62">
        <f t="shared" si="4"/>
        <v>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4">
        <v>686.0</v>
      </c>
      <c r="C694" s="56" t="s">
        <v>734</v>
      </c>
      <c r="D694" s="67">
        <v>31500.0</v>
      </c>
      <c r="E694" s="56">
        <v>4.0</v>
      </c>
      <c r="F694" s="59">
        <f t="shared" si="6"/>
        <v>126000</v>
      </c>
      <c r="G694" s="56">
        <v>0.0</v>
      </c>
      <c r="H694" s="59">
        <f t="shared" si="1"/>
        <v>0</v>
      </c>
      <c r="I694" s="39"/>
      <c r="J694" s="56">
        <v>4.0</v>
      </c>
      <c r="K694" s="60">
        <f t="shared" si="2"/>
        <v>126000</v>
      </c>
      <c r="L694" s="39"/>
      <c r="M694" s="59">
        <f t="shared" si="3"/>
        <v>0</v>
      </c>
      <c r="N694" s="69">
        <v>0.0</v>
      </c>
      <c r="O694" s="62">
        <f t="shared" si="4"/>
        <v>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4">
        <v>687.0</v>
      </c>
      <c r="C695" s="56" t="s">
        <v>735</v>
      </c>
      <c r="D695" s="67">
        <v>36500.0</v>
      </c>
      <c r="E695" s="56">
        <v>1.0</v>
      </c>
      <c r="F695" s="59">
        <f t="shared" si="6"/>
        <v>36500</v>
      </c>
      <c r="G695" s="56">
        <v>1.0</v>
      </c>
      <c r="H695" s="59">
        <f t="shared" si="1"/>
        <v>36500</v>
      </c>
      <c r="I695" s="39"/>
      <c r="J695" s="39"/>
      <c r="K695" s="60">
        <f t="shared" si="2"/>
        <v>0</v>
      </c>
      <c r="L695" s="39"/>
      <c r="M695" s="59">
        <f t="shared" si="3"/>
        <v>0</v>
      </c>
      <c r="N695" s="69">
        <v>1.0</v>
      </c>
      <c r="O695" s="62">
        <f t="shared" si="4"/>
        <v>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4">
        <v>688.0</v>
      </c>
      <c r="C696" s="56" t="s">
        <v>736</v>
      </c>
      <c r="D696" s="67">
        <v>57069.37</v>
      </c>
      <c r="E696" s="56">
        <v>1.0</v>
      </c>
      <c r="F696" s="59">
        <f t="shared" si="6"/>
        <v>57069.37</v>
      </c>
      <c r="G696" s="56">
        <v>1.0</v>
      </c>
      <c r="H696" s="59">
        <f t="shared" si="1"/>
        <v>57069.37</v>
      </c>
      <c r="I696" s="39"/>
      <c r="J696" s="39"/>
      <c r="K696" s="60">
        <f t="shared" si="2"/>
        <v>0</v>
      </c>
      <c r="L696" s="39"/>
      <c r="M696" s="59">
        <f t="shared" si="3"/>
        <v>0</v>
      </c>
      <c r="N696" s="69">
        <v>1.0</v>
      </c>
      <c r="O696" s="62">
        <f t="shared" si="4"/>
        <v>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4">
        <v>689.0</v>
      </c>
      <c r="C697" s="56" t="s">
        <v>737</v>
      </c>
      <c r="D697" s="67">
        <v>12612.61</v>
      </c>
      <c r="E697" s="56">
        <v>4.0</v>
      </c>
      <c r="F697" s="59">
        <f t="shared" si="6"/>
        <v>50450.44</v>
      </c>
      <c r="G697" s="56">
        <v>4.0</v>
      </c>
      <c r="H697" s="59">
        <f t="shared" si="1"/>
        <v>50450.44</v>
      </c>
      <c r="I697" s="39"/>
      <c r="J697" s="39"/>
      <c r="K697" s="60">
        <f t="shared" si="2"/>
        <v>0</v>
      </c>
      <c r="L697" s="39"/>
      <c r="M697" s="59">
        <f t="shared" si="3"/>
        <v>0</v>
      </c>
      <c r="N697" s="69">
        <v>4.0</v>
      </c>
      <c r="O697" s="62">
        <f t="shared" si="4"/>
        <v>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4">
        <v>690.0</v>
      </c>
      <c r="C698" s="56" t="s">
        <v>738</v>
      </c>
      <c r="D698" s="67">
        <v>15000.0</v>
      </c>
      <c r="E698" s="56">
        <v>1.0</v>
      </c>
      <c r="F698" s="59">
        <f t="shared" si="6"/>
        <v>15000</v>
      </c>
      <c r="G698" s="56">
        <v>1.0</v>
      </c>
      <c r="H698" s="59">
        <f t="shared" si="1"/>
        <v>15000</v>
      </c>
      <c r="I698" s="39"/>
      <c r="J698" s="39"/>
      <c r="K698" s="60">
        <f t="shared" si="2"/>
        <v>0</v>
      </c>
      <c r="L698" s="39"/>
      <c r="M698" s="59">
        <f t="shared" si="3"/>
        <v>0</v>
      </c>
      <c r="N698" s="69">
        <v>1.0</v>
      </c>
      <c r="O698" s="62">
        <f t="shared" si="4"/>
        <v>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4">
        <v>691.0</v>
      </c>
      <c r="C699" s="56" t="s">
        <v>739</v>
      </c>
      <c r="D699" s="67">
        <v>12000.0</v>
      </c>
      <c r="E699" s="56">
        <v>1.0</v>
      </c>
      <c r="F699" s="59">
        <f t="shared" si="6"/>
        <v>12000</v>
      </c>
      <c r="G699" s="56">
        <v>1.0</v>
      </c>
      <c r="H699" s="59">
        <f t="shared" si="1"/>
        <v>12000</v>
      </c>
      <c r="I699" s="39"/>
      <c r="J699" s="39"/>
      <c r="K699" s="60">
        <f t="shared" si="2"/>
        <v>0</v>
      </c>
      <c r="L699" s="39"/>
      <c r="M699" s="59">
        <f t="shared" si="3"/>
        <v>0</v>
      </c>
      <c r="N699" s="69">
        <v>1.0</v>
      </c>
      <c r="O699" s="62">
        <f t="shared" si="4"/>
        <v>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4">
        <v>692.0</v>
      </c>
      <c r="C700" s="56" t="s">
        <v>740</v>
      </c>
      <c r="D700" s="67">
        <v>15000.0</v>
      </c>
      <c r="E700" s="56">
        <v>1.0</v>
      </c>
      <c r="F700" s="59">
        <f t="shared" si="6"/>
        <v>15000</v>
      </c>
      <c r="G700" s="56">
        <v>1.0</v>
      </c>
      <c r="H700" s="59">
        <f t="shared" si="1"/>
        <v>15000</v>
      </c>
      <c r="I700" s="39"/>
      <c r="J700" s="39"/>
      <c r="K700" s="60">
        <f t="shared" si="2"/>
        <v>0</v>
      </c>
      <c r="L700" s="39"/>
      <c r="M700" s="59">
        <f t="shared" si="3"/>
        <v>0</v>
      </c>
      <c r="N700" s="69">
        <v>1.0</v>
      </c>
      <c r="O700" s="62">
        <f t="shared" si="4"/>
        <v>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4">
        <v>693.0</v>
      </c>
      <c r="C701" s="56" t="s">
        <v>741</v>
      </c>
      <c r="D701" s="67">
        <v>12500.0</v>
      </c>
      <c r="E701" s="56">
        <v>10.0</v>
      </c>
      <c r="F701" s="59">
        <f t="shared" si="6"/>
        <v>125000</v>
      </c>
      <c r="G701" s="56">
        <v>10.0</v>
      </c>
      <c r="H701" s="59">
        <f t="shared" si="1"/>
        <v>125000</v>
      </c>
      <c r="I701" s="39"/>
      <c r="J701" s="39"/>
      <c r="K701" s="60">
        <f t="shared" si="2"/>
        <v>0</v>
      </c>
      <c r="L701" s="39"/>
      <c r="M701" s="59">
        <f t="shared" si="3"/>
        <v>0</v>
      </c>
      <c r="N701" s="69">
        <v>10.0</v>
      </c>
      <c r="O701" s="62">
        <f t="shared" si="4"/>
        <v>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4">
        <v>694.0</v>
      </c>
      <c r="C702" s="56" t="s">
        <v>742</v>
      </c>
      <c r="D702" s="67">
        <v>7500.0</v>
      </c>
      <c r="E702" s="56">
        <v>3.0</v>
      </c>
      <c r="F702" s="59">
        <f t="shared" si="6"/>
        <v>22500</v>
      </c>
      <c r="G702" s="56">
        <v>3.0</v>
      </c>
      <c r="H702" s="59">
        <f t="shared" si="1"/>
        <v>22500</v>
      </c>
      <c r="I702" s="39"/>
      <c r="J702" s="39"/>
      <c r="K702" s="60">
        <f t="shared" si="2"/>
        <v>0</v>
      </c>
      <c r="L702" s="39"/>
      <c r="M702" s="59">
        <f t="shared" si="3"/>
        <v>0</v>
      </c>
      <c r="N702" s="69">
        <v>3.0</v>
      </c>
      <c r="O702" s="62">
        <f t="shared" si="4"/>
        <v>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4">
        <v>695.0</v>
      </c>
      <c r="C703" s="56" t="s">
        <v>743</v>
      </c>
      <c r="D703" s="74">
        <v>13000.0</v>
      </c>
      <c r="E703" s="56">
        <v>2.0</v>
      </c>
      <c r="F703" s="59">
        <f t="shared" si="6"/>
        <v>26000</v>
      </c>
      <c r="G703" s="56">
        <v>2.0</v>
      </c>
      <c r="H703" s="59">
        <f t="shared" si="1"/>
        <v>26000</v>
      </c>
      <c r="I703" s="39"/>
      <c r="J703" s="39"/>
      <c r="K703" s="60">
        <f t="shared" si="2"/>
        <v>0</v>
      </c>
      <c r="L703" s="39"/>
      <c r="M703" s="59">
        <f t="shared" si="3"/>
        <v>0</v>
      </c>
      <c r="N703" s="69">
        <v>2.0</v>
      </c>
      <c r="O703" s="62">
        <f t="shared" si="4"/>
        <v>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4">
        <v>696.0</v>
      </c>
      <c r="C704" s="56" t="s">
        <v>744</v>
      </c>
      <c r="D704" s="74">
        <v>10000.0</v>
      </c>
      <c r="E704" s="56">
        <v>1.0</v>
      </c>
      <c r="F704" s="59">
        <f t="shared" si="6"/>
        <v>10000</v>
      </c>
      <c r="G704" s="56">
        <v>1.0</v>
      </c>
      <c r="H704" s="59">
        <f t="shared" si="1"/>
        <v>10000</v>
      </c>
      <c r="I704" s="39"/>
      <c r="J704" s="39"/>
      <c r="K704" s="60">
        <f t="shared" si="2"/>
        <v>0</v>
      </c>
      <c r="L704" s="39"/>
      <c r="M704" s="59">
        <f t="shared" si="3"/>
        <v>0</v>
      </c>
      <c r="N704" s="69">
        <v>1.0</v>
      </c>
      <c r="O704" s="62">
        <f t="shared" si="4"/>
        <v>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4">
        <v>697.0</v>
      </c>
      <c r="C705" s="56" t="s">
        <v>745</v>
      </c>
      <c r="D705" s="74">
        <v>10000.0</v>
      </c>
      <c r="E705" s="56">
        <v>1.0</v>
      </c>
      <c r="F705" s="59">
        <f t="shared" si="6"/>
        <v>10000</v>
      </c>
      <c r="G705" s="56">
        <v>1.0</v>
      </c>
      <c r="H705" s="59">
        <f t="shared" si="1"/>
        <v>10000</v>
      </c>
      <c r="I705" s="39"/>
      <c r="J705" s="39"/>
      <c r="K705" s="60">
        <f t="shared" si="2"/>
        <v>0</v>
      </c>
      <c r="L705" s="39"/>
      <c r="M705" s="59">
        <f t="shared" si="3"/>
        <v>0</v>
      </c>
      <c r="N705" s="69">
        <v>1.0</v>
      </c>
      <c r="O705" s="62">
        <f t="shared" si="4"/>
        <v>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4">
        <v>698.0</v>
      </c>
      <c r="C706" s="56" t="s">
        <v>746</v>
      </c>
      <c r="D706" s="74">
        <v>15000.0</v>
      </c>
      <c r="E706" s="56">
        <v>1.0</v>
      </c>
      <c r="F706" s="59">
        <f t="shared" si="6"/>
        <v>15000</v>
      </c>
      <c r="G706" s="56">
        <v>0.0</v>
      </c>
      <c r="H706" s="59">
        <f t="shared" si="1"/>
        <v>0</v>
      </c>
      <c r="I706" s="39"/>
      <c r="J706" s="56">
        <v>1.0</v>
      </c>
      <c r="K706" s="60">
        <f t="shared" si="2"/>
        <v>15000</v>
      </c>
      <c r="L706" s="39"/>
      <c r="M706" s="59">
        <f t="shared" si="3"/>
        <v>0</v>
      </c>
      <c r="N706" s="69">
        <v>0.0</v>
      </c>
      <c r="O706" s="62">
        <f t="shared" si="4"/>
        <v>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4">
        <v>699.0</v>
      </c>
      <c r="C707" s="56" t="s">
        <v>747</v>
      </c>
      <c r="D707" s="74">
        <v>51.5</v>
      </c>
      <c r="E707" s="56">
        <v>1.0</v>
      </c>
      <c r="F707" s="59">
        <f t="shared" si="6"/>
        <v>51.5</v>
      </c>
      <c r="G707" s="56">
        <v>0.0</v>
      </c>
      <c r="H707" s="59">
        <f t="shared" si="1"/>
        <v>0</v>
      </c>
      <c r="I707" s="39"/>
      <c r="J707" s="56">
        <v>1.0</v>
      </c>
      <c r="K707" s="60">
        <f t="shared" si="2"/>
        <v>51.5</v>
      </c>
      <c r="L707" s="39"/>
      <c r="M707" s="59">
        <f t="shared" si="3"/>
        <v>0</v>
      </c>
      <c r="N707" s="69">
        <v>0.0</v>
      </c>
      <c r="O707" s="62">
        <f t="shared" si="4"/>
        <v>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4">
        <v>700.0</v>
      </c>
      <c r="C708" s="56" t="s">
        <v>748</v>
      </c>
      <c r="D708" s="74">
        <v>8500.0</v>
      </c>
      <c r="E708" s="56">
        <v>400.0</v>
      </c>
      <c r="F708" s="59">
        <f t="shared" si="6"/>
        <v>3400000</v>
      </c>
      <c r="G708" s="56">
        <v>0.0</v>
      </c>
      <c r="H708" s="59">
        <f t="shared" si="1"/>
        <v>0</v>
      </c>
      <c r="I708" s="39"/>
      <c r="J708" s="56">
        <v>400.0</v>
      </c>
      <c r="K708" s="60">
        <f t="shared" si="2"/>
        <v>3400000</v>
      </c>
      <c r="L708" s="39"/>
      <c r="M708" s="59">
        <f t="shared" si="3"/>
        <v>0</v>
      </c>
      <c r="N708" s="69">
        <v>0.0</v>
      </c>
      <c r="O708" s="62">
        <f t="shared" si="4"/>
        <v>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4">
        <v>701.0</v>
      </c>
      <c r="C709" s="56" t="s">
        <v>749</v>
      </c>
      <c r="D709" s="74">
        <v>10000.0</v>
      </c>
      <c r="E709" s="56">
        <v>1.0</v>
      </c>
      <c r="F709" s="59">
        <f t="shared" si="6"/>
        <v>10000</v>
      </c>
      <c r="G709" s="56">
        <v>1.0</v>
      </c>
      <c r="H709" s="59">
        <f t="shared" si="1"/>
        <v>10000</v>
      </c>
      <c r="I709" s="39"/>
      <c r="J709" s="39"/>
      <c r="K709" s="60">
        <f t="shared" si="2"/>
        <v>0</v>
      </c>
      <c r="L709" s="39"/>
      <c r="M709" s="59">
        <f t="shared" si="3"/>
        <v>0</v>
      </c>
      <c r="N709" s="69">
        <v>1.0</v>
      </c>
      <c r="O709" s="62">
        <f t="shared" si="4"/>
        <v>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4">
        <v>702.0</v>
      </c>
      <c r="C710" s="56" t="s">
        <v>750</v>
      </c>
      <c r="D710" s="75">
        <v>10360.0</v>
      </c>
      <c r="E710" s="56">
        <v>1.0</v>
      </c>
      <c r="F710" s="59">
        <f t="shared" si="6"/>
        <v>10360</v>
      </c>
      <c r="G710" s="56">
        <v>1.0</v>
      </c>
      <c r="H710" s="59">
        <f t="shared" si="1"/>
        <v>10360</v>
      </c>
      <c r="I710" s="39"/>
      <c r="J710" s="39"/>
      <c r="K710" s="60">
        <f t="shared" si="2"/>
        <v>0</v>
      </c>
      <c r="L710" s="39"/>
      <c r="M710" s="59">
        <f t="shared" si="3"/>
        <v>0</v>
      </c>
      <c r="N710" s="69">
        <v>1.0</v>
      </c>
      <c r="O710" s="62">
        <f t="shared" si="4"/>
        <v>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4">
        <v>703.0</v>
      </c>
      <c r="C711" s="56" t="s">
        <v>751</v>
      </c>
      <c r="D711" s="75">
        <v>16666.67</v>
      </c>
      <c r="E711" s="56">
        <v>1.0</v>
      </c>
      <c r="F711" s="59">
        <f t="shared" si="6"/>
        <v>16666.67</v>
      </c>
      <c r="G711" s="56">
        <v>0.0</v>
      </c>
      <c r="H711" s="59">
        <f t="shared" si="1"/>
        <v>0</v>
      </c>
      <c r="I711" s="39"/>
      <c r="J711" s="56">
        <v>1.0</v>
      </c>
      <c r="K711" s="60">
        <f t="shared" si="2"/>
        <v>16666.67</v>
      </c>
      <c r="L711" s="39"/>
      <c r="M711" s="59">
        <f t="shared" si="3"/>
        <v>0</v>
      </c>
      <c r="N711" s="69">
        <v>0.0</v>
      </c>
      <c r="O711" s="62">
        <f t="shared" si="4"/>
        <v>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4">
        <v>704.0</v>
      </c>
      <c r="C712" s="56" t="s">
        <v>752</v>
      </c>
      <c r="D712" s="75">
        <v>22500.0</v>
      </c>
      <c r="E712" s="56">
        <v>3.0</v>
      </c>
      <c r="F712" s="59">
        <f t="shared" si="6"/>
        <v>67500</v>
      </c>
      <c r="G712" s="56">
        <v>6.0</v>
      </c>
      <c r="H712" s="59">
        <f t="shared" si="1"/>
        <v>135000</v>
      </c>
      <c r="I712" s="39"/>
      <c r="J712" s="56"/>
      <c r="K712" s="60">
        <f t="shared" si="2"/>
        <v>0</v>
      </c>
      <c r="L712" s="56">
        <v>3.0</v>
      </c>
      <c r="M712" s="59">
        <f t="shared" si="3"/>
        <v>67500</v>
      </c>
      <c r="N712" s="69">
        <v>6.0</v>
      </c>
      <c r="O712" s="62">
        <f t="shared" si="4"/>
        <v>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4">
        <v>705.0</v>
      </c>
      <c r="C713" s="56" t="s">
        <v>753</v>
      </c>
      <c r="D713" s="75">
        <v>30000.0</v>
      </c>
      <c r="E713" s="56">
        <v>1.0</v>
      </c>
      <c r="F713" s="59">
        <f t="shared" si="6"/>
        <v>30000</v>
      </c>
      <c r="G713" s="56">
        <v>0.0</v>
      </c>
      <c r="H713" s="59">
        <f t="shared" si="1"/>
        <v>0</v>
      </c>
      <c r="I713" s="39"/>
      <c r="J713" s="56">
        <v>1.0</v>
      </c>
      <c r="K713" s="60">
        <f t="shared" si="2"/>
        <v>30000</v>
      </c>
      <c r="L713" s="39"/>
      <c r="M713" s="59">
        <f t="shared" si="3"/>
        <v>0</v>
      </c>
      <c r="N713" s="69">
        <v>0.0</v>
      </c>
      <c r="O713" s="62">
        <f t="shared" si="4"/>
        <v>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4">
        <v>706.0</v>
      </c>
      <c r="C714" s="56" t="s">
        <v>754</v>
      </c>
      <c r="D714" s="75">
        <v>30000.0</v>
      </c>
      <c r="E714" s="56">
        <v>1.0</v>
      </c>
      <c r="F714" s="59">
        <f t="shared" si="6"/>
        <v>30000</v>
      </c>
      <c r="G714" s="56">
        <v>6.0</v>
      </c>
      <c r="H714" s="59">
        <f t="shared" si="1"/>
        <v>180000</v>
      </c>
      <c r="I714" s="39"/>
      <c r="J714" s="39"/>
      <c r="K714" s="60">
        <f t="shared" si="2"/>
        <v>0</v>
      </c>
      <c r="L714" s="56">
        <v>5.0</v>
      </c>
      <c r="M714" s="59">
        <f t="shared" si="3"/>
        <v>150000</v>
      </c>
      <c r="N714" s="69">
        <v>6.0</v>
      </c>
      <c r="O714" s="62">
        <f t="shared" si="4"/>
        <v>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4">
        <v>707.0</v>
      </c>
      <c r="C715" s="56" t="s">
        <v>755</v>
      </c>
      <c r="D715" s="75">
        <v>45000.0</v>
      </c>
      <c r="E715" s="56">
        <v>24.0</v>
      </c>
      <c r="F715" s="59">
        <f t="shared" si="6"/>
        <v>1080000</v>
      </c>
      <c r="G715" s="56">
        <v>1.0</v>
      </c>
      <c r="H715" s="59">
        <f t="shared" si="1"/>
        <v>45000</v>
      </c>
      <c r="I715" s="39"/>
      <c r="J715" s="56">
        <v>23.0</v>
      </c>
      <c r="K715" s="60">
        <f t="shared" si="2"/>
        <v>1035000</v>
      </c>
      <c r="L715" s="39"/>
      <c r="M715" s="59">
        <f t="shared" si="3"/>
        <v>0</v>
      </c>
      <c r="N715" s="69">
        <v>1.0</v>
      </c>
      <c r="O715" s="62">
        <f t="shared" si="4"/>
        <v>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4">
        <v>708.0</v>
      </c>
      <c r="C716" s="56" t="s">
        <v>756</v>
      </c>
      <c r="D716" s="75">
        <v>10000.0</v>
      </c>
      <c r="E716" s="56">
        <v>8.0</v>
      </c>
      <c r="F716" s="59">
        <f t="shared" si="6"/>
        <v>80000</v>
      </c>
      <c r="G716" s="56">
        <v>6.0</v>
      </c>
      <c r="H716" s="59">
        <f t="shared" si="1"/>
        <v>60000</v>
      </c>
      <c r="I716" s="39"/>
      <c r="J716" s="56">
        <v>2.0</v>
      </c>
      <c r="K716" s="60">
        <f t="shared" si="2"/>
        <v>20000</v>
      </c>
      <c r="L716" s="39"/>
      <c r="M716" s="59">
        <f t="shared" si="3"/>
        <v>0</v>
      </c>
      <c r="N716" s="69">
        <v>6.0</v>
      </c>
      <c r="O716" s="62">
        <f t="shared" si="4"/>
        <v>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4">
        <v>709.0</v>
      </c>
      <c r="C717" s="56" t="s">
        <v>757</v>
      </c>
      <c r="D717" s="75">
        <v>10000.0</v>
      </c>
      <c r="E717" s="56">
        <v>1.0</v>
      </c>
      <c r="F717" s="59">
        <f t="shared" si="6"/>
        <v>10000</v>
      </c>
      <c r="G717" s="56">
        <v>1.0</v>
      </c>
      <c r="H717" s="59">
        <f t="shared" si="1"/>
        <v>10000</v>
      </c>
      <c r="I717" s="39"/>
      <c r="J717" s="39"/>
      <c r="K717" s="60">
        <f t="shared" si="2"/>
        <v>0</v>
      </c>
      <c r="L717" s="39"/>
      <c r="M717" s="59">
        <f t="shared" si="3"/>
        <v>0</v>
      </c>
      <c r="N717" s="69">
        <v>1.0</v>
      </c>
      <c r="O717" s="62">
        <f t="shared" si="4"/>
        <v>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4">
        <v>710.0</v>
      </c>
      <c r="C718" s="56" t="s">
        <v>758</v>
      </c>
      <c r="D718" s="75">
        <v>16500.0</v>
      </c>
      <c r="E718" s="56">
        <v>6.0</v>
      </c>
      <c r="F718" s="59">
        <f t="shared" si="6"/>
        <v>99000</v>
      </c>
      <c r="G718" s="56">
        <v>0.0</v>
      </c>
      <c r="H718" s="59">
        <f t="shared" si="1"/>
        <v>0</v>
      </c>
      <c r="I718" s="39"/>
      <c r="J718" s="56">
        <v>6.0</v>
      </c>
      <c r="K718" s="60">
        <f t="shared" si="2"/>
        <v>99000</v>
      </c>
      <c r="L718" s="39"/>
      <c r="M718" s="59">
        <f t="shared" si="3"/>
        <v>0</v>
      </c>
      <c r="N718" s="69">
        <v>0.0</v>
      </c>
      <c r="O718" s="62">
        <f t="shared" si="4"/>
        <v>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4">
        <v>711.0</v>
      </c>
      <c r="C719" s="56" t="s">
        <v>759</v>
      </c>
      <c r="D719" s="75">
        <v>315000.0</v>
      </c>
      <c r="E719" s="56">
        <v>1.0</v>
      </c>
      <c r="F719" s="59">
        <f t="shared" si="6"/>
        <v>315000</v>
      </c>
      <c r="G719" s="56">
        <v>0.0</v>
      </c>
      <c r="H719" s="59">
        <f t="shared" si="1"/>
        <v>0</v>
      </c>
      <c r="I719" s="39"/>
      <c r="J719" s="56">
        <v>1.0</v>
      </c>
      <c r="K719" s="60">
        <f t="shared" si="2"/>
        <v>315000</v>
      </c>
      <c r="L719" s="39"/>
      <c r="M719" s="59">
        <f t="shared" si="3"/>
        <v>0</v>
      </c>
      <c r="N719" s="69">
        <v>0.0</v>
      </c>
      <c r="O719" s="62">
        <f t="shared" si="4"/>
        <v>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4">
        <v>712.0</v>
      </c>
      <c r="C720" s="56" t="s">
        <v>760</v>
      </c>
      <c r="D720" s="75">
        <v>1000.0</v>
      </c>
      <c r="E720" s="56">
        <v>1.0</v>
      </c>
      <c r="F720" s="59">
        <f t="shared" si="6"/>
        <v>1000</v>
      </c>
      <c r="G720" s="56">
        <v>1.0</v>
      </c>
      <c r="H720" s="59">
        <f t="shared" si="1"/>
        <v>1000</v>
      </c>
      <c r="I720" s="39"/>
      <c r="J720" s="39"/>
      <c r="K720" s="60">
        <f t="shared" si="2"/>
        <v>0</v>
      </c>
      <c r="L720" s="39"/>
      <c r="M720" s="59">
        <f t="shared" si="3"/>
        <v>0</v>
      </c>
      <c r="N720" s="69">
        <v>1.0</v>
      </c>
      <c r="O720" s="62">
        <f t="shared" si="4"/>
        <v>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4">
        <v>713.0</v>
      </c>
      <c r="C721" s="56" t="s">
        <v>761</v>
      </c>
      <c r="D721" s="75">
        <v>10000.0</v>
      </c>
      <c r="E721" s="56">
        <v>1.0</v>
      </c>
      <c r="F721" s="59">
        <f t="shared" si="6"/>
        <v>10000</v>
      </c>
      <c r="G721" s="56">
        <v>141.0</v>
      </c>
      <c r="H721" s="59">
        <f t="shared" si="1"/>
        <v>1410000</v>
      </c>
      <c r="I721" s="39"/>
      <c r="J721" s="39"/>
      <c r="K721" s="60">
        <f t="shared" si="2"/>
        <v>0</v>
      </c>
      <c r="L721" s="56">
        <v>140.0</v>
      </c>
      <c r="M721" s="59">
        <f t="shared" si="3"/>
        <v>1400000</v>
      </c>
      <c r="N721" s="69">
        <v>141.0</v>
      </c>
      <c r="O721" s="62">
        <f t="shared" si="4"/>
        <v>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4">
        <v>714.0</v>
      </c>
      <c r="C722" s="56" t="s">
        <v>762</v>
      </c>
      <c r="D722" s="75">
        <v>15500.0</v>
      </c>
      <c r="E722" s="56">
        <v>1.0</v>
      </c>
      <c r="F722" s="59">
        <f t="shared" si="6"/>
        <v>15500</v>
      </c>
      <c r="G722" s="56">
        <v>2.0</v>
      </c>
      <c r="H722" s="59">
        <f t="shared" si="1"/>
        <v>31000</v>
      </c>
      <c r="I722" s="39"/>
      <c r="J722" s="39"/>
      <c r="K722" s="60">
        <f t="shared" si="2"/>
        <v>0</v>
      </c>
      <c r="L722" s="56">
        <v>1.0</v>
      </c>
      <c r="M722" s="59">
        <f t="shared" si="3"/>
        <v>15500</v>
      </c>
      <c r="N722" s="69">
        <v>2.0</v>
      </c>
      <c r="O722" s="62">
        <f t="shared" si="4"/>
        <v>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4">
        <v>715.0</v>
      </c>
      <c r="C723" s="56" t="s">
        <v>763</v>
      </c>
      <c r="D723" s="75">
        <v>2900.0</v>
      </c>
      <c r="E723" s="56">
        <v>141.0</v>
      </c>
      <c r="F723" s="59">
        <f t="shared" si="6"/>
        <v>408900</v>
      </c>
      <c r="G723" s="56">
        <v>1.0</v>
      </c>
      <c r="H723" s="59">
        <f t="shared" si="1"/>
        <v>2900</v>
      </c>
      <c r="I723" s="39"/>
      <c r="J723" s="56">
        <v>140.0</v>
      </c>
      <c r="K723" s="60">
        <f t="shared" si="2"/>
        <v>406000</v>
      </c>
      <c r="L723" s="39"/>
      <c r="M723" s="59">
        <f t="shared" si="3"/>
        <v>0</v>
      </c>
      <c r="N723" s="69">
        <v>1.0</v>
      </c>
      <c r="O723" s="62">
        <f t="shared" si="4"/>
        <v>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4">
        <v>716.0</v>
      </c>
      <c r="C724" s="56" t="s">
        <v>764</v>
      </c>
      <c r="D724" s="75">
        <v>3500.0</v>
      </c>
      <c r="E724" s="56">
        <v>2.0</v>
      </c>
      <c r="F724" s="59">
        <f t="shared" si="6"/>
        <v>7000</v>
      </c>
      <c r="G724" s="56">
        <v>6.0</v>
      </c>
      <c r="H724" s="59">
        <f t="shared" si="1"/>
        <v>21000</v>
      </c>
      <c r="I724" s="39"/>
      <c r="J724" s="39"/>
      <c r="K724" s="60">
        <f t="shared" si="2"/>
        <v>0</v>
      </c>
      <c r="L724" s="56">
        <v>4.0</v>
      </c>
      <c r="M724" s="59">
        <f t="shared" si="3"/>
        <v>14000</v>
      </c>
      <c r="N724" s="69">
        <v>6.0</v>
      </c>
      <c r="O724" s="62">
        <f t="shared" si="4"/>
        <v>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4">
        <v>717.0</v>
      </c>
      <c r="C725" s="56" t="s">
        <v>765</v>
      </c>
      <c r="D725" s="75">
        <v>5855.86</v>
      </c>
      <c r="E725" s="56">
        <v>1.0</v>
      </c>
      <c r="F725" s="59">
        <f t="shared" si="6"/>
        <v>5855.86</v>
      </c>
      <c r="G725" s="56">
        <v>1.0</v>
      </c>
      <c r="H725" s="59">
        <f t="shared" si="1"/>
        <v>5855.86</v>
      </c>
      <c r="I725" s="39"/>
      <c r="J725" s="39"/>
      <c r="K725" s="60">
        <f t="shared" si="2"/>
        <v>0</v>
      </c>
      <c r="L725" s="39"/>
      <c r="M725" s="59">
        <f t="shared" si="3"/>
        <v>0</v>
      </c>
      <c r="N725" s="69">
        <v>1.0</v>
      </c>
      <c r="O725" s="62">
        <f t="shared" si="4"/>
        <v>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4">
        <v>718.0</v>
      </c>
      <c r="C726" s="56" t="s">
        <v>766</v>
      </c>
      <c r="D726" s="75">
        <v>15000.0</v>
      </c>
      <c r="E726" s="56">
        <v>5.0</v>
      </c>
      <c r="F726" s="59">
        <f t="shared" si="6"/>
        <v>75000</v>
      </c>
      <c r="G726" s="56">
        <v>3.0</v>
      </c>
      <c r="H726" s="59">
        <f t="shared" si="1"/>
        <v>45000</v>
      </c>
      <c r="I726" s="39"/>
      <c r="J726" s="56">
        <v>2.0</v>
      </c>
      <c r="K726" s="60">
        <f t="shared" si="2"/>
        <v>30000</v>
      </c>
      <c r="L726" s="39"/>
      <c r="M726" s="59">
        <f t="shared" si="3"/>
        <v>0</v>
      </c>
      <c r="N726" s="69">
        <v>3.0</v>
      </c>
      <c r="O726" s="62">
        <f t="shared" si="4"/>
        <v>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64"/>
      <c r="D727" s="75"/>
      <c r="E727" s="62"/>
      <c r="F727" s="75"/>
      <c r="G727" s="62"/>
      <c r="H727" s="75"/>
      <c r="I727" s="3"/>
      <c r="J727" s="62"/>
      <c r="K727" s="75"/>
      <c r="L727" s="3"/>
      <c r="M727" s="75"/>
      <c r="N727" s="1"/>
      <c r="O727" s="6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64"/>
      <c r="D728" s="75"/>
      <c r="E728" s="62"/>
      <c r="F728" s="75">
        <f>SUM(F7:F726)</f>
        <v>2346632034</v>
      </c>
      <c r="G728" s="62"/>
      <c r="H728" s="75">
        <f>SUM(H7:H726)</f>
        <v>2442393483</v>
      </c>
      <c r="I728" s="3"/>
      <c r="J728" s="62"/>
      <c r="K728" s="75">
        <f>SUM(K7:K726)</f>
        <v>6687971.82</v>
      </c>
      <c r="L728" s="3"/>
      <c r="M728" s="75">
        <f>SUM(M7:M726)</f>
        <v>34105077.31</v>
      </c>
      <c r="N728" s="1"/>
      <c r="O728" s="6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64"/>
      <c r="D729" s="76"/>
      <c r="E729" s="64"/>
      <c r="F729" s="77"/>
      <c r="G729" s="64"/>
      <c r="H729" s="78"/>
      <c r="I729" s="79"/>
      <c r="J729" s="80"/>
      <c r="K729" s="81"/>
      <c r="L729" s="79"/>
      <c r="M729" s="78"/>
      <c r="N729" s="79"/>
      <c r="O729" s="6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64"/>
      <c r="D730" s="76"/>
      <c r="E730" s="64"/>
      <c r="F730" s="77"/>
      <c r="G730" s="64"/>
      <c r="H730" s="78"/>
      <c r="I730" s="79"/>
      <c r="J730" s="80"/>
      <c r="K730" s="81"/>
      <c r="L730" s="79"/>
      <c r="M730" s="78"/>
      <c r="N730" s="79"/>
      <c r="O730" s="6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64"/>
      <c r="D731" s="76"/>
      <c r="E731" s="64"/>
      <c r="F731" s="77"/>
      <c r="G731" s="64"/>
      <c r="H731" s="78"/>
      <c r="I731" s="79"/>
      <c r="J731" s="80"/>
      <c r="K731" s="81"/>
      <c r="L731" s="79"/>
      <c r="M731" s="78"/>
      <c r="N731" s="79"/>
      <c r="O731" s="6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64"/>
      <c r="D732" s="76"/>
      <c r="E732" s="64"/>
      <c r="F732" s="77"/>
      <c r="G732" s="64"/>
      <c r="H732" s="78"/>
      <c r="I732" s="79"/>
      <c r="J732" s="80"/>
      <c r="K732" s="81"/>
      <c r="L732" s="79"/>
      <c r="M732" s="78"/>
      <c r="N732" s="79"/>
      <c r="O732" s="6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64"/>
      <c r="D733" s="76"/>
      <c r="E733" s="64"/>
      <c r="F733" s="77"/>
      <c r="G733" s="64"/>
      <c r="H733" s="77"/>
      <c r="I733" s="1"/>
      <c r="J733" s="64"/>
      <c r="K733" s="82"/>
      <c r="L733" s="1"/>
      <c r="M733" s="77"/>
      <c r="N733" s="1"/>
      <c r="O733" s="6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64"/>
      <c r="D734" s="76"/>
      <c r="E734" s="64"/>
      <c r="F734" s="77"/>
      <c r="G734" s="64"/>
      <c r="H734" s="77"/>
      <c r="I734" s="1"/>
      <c r="J734" s="64"/>
      <c r="K734" s="82"/>
      <c r="L734" s="1"/>
      <c r="M734" s="77"/>
      <c r="N734" s="1"/>
      <c r="O734" s="6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64"/>
      <c r="D735" s="76"/>
      <c r="E735" s="64"/>
      <c r="F735" s="77"/>
      <c r="G735" s="64"/>
      <c r="H735" s="77"/>
      <c r="I735" s="1"/>
      <c r="J735" s="64"/>
      <c r="K735" s="82"/>
      <c r="L735" s="1"/>
      <c r="M735" s="77"/>
      <c r="N735" s="1"/>
      <c r="O735" s="6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</sheetData>
  <autoFilter ref="$J$8:$L$728"/>
  <mergeCells count="11">
    <mergeCell ref="G7:G8"/>
    <mergeCell ref="H7:H8"/>
    <mergeCell ref="I7:I8"/>
    <mergeCell ref="J7:L7"/>
    <mergeCell ref="B2:L2"/>
    <mergeCell ref="B3:L3"/>
    <mergeCell ref="B5:C5"/>
    <mergeCell ref="B7:B8"/>
    <mergeCell ref="D7:D8"/>
    <mergeCell ref="E7:E8"/>
    <mergeCell ref="F7:F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71"/>
    <col customWidth="1" min="3" max="3" width="41.86"/>
    <col customWidth="1" min="4" max="4" width="26.14"/>
    <col customWidth="1" min="5" max="5" width="8.71"/>
    <col customWidth="1" min="6" max="6" width="26.43"/>
    <col customWidth="1" min="8" max="8" width="27.14"/>
    <col customWidth="1" min="13" max="13" width="20.57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1</v>
      </c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2"/>
      <c r="E4" s="1"/>
      <c r="F4" s="1"/>
      <c r="G4" s="11"/>
      <c r="H4" s="1"/>
      <c r="I4" s="1"/>
      <c r="J4" s="1"/>
      <c r="K4" s="1"/>
      <c r="L4" s="1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3</v>
      </c>
      <c r="C5" s="14"/>
      <c r="D5" s="2"/>
      <c r="E5" s="1"/>
      <c r="F5" s="1"/>
      <c r="G5" s="11"/>
      <c r="H5" s="1"/>
      <c r="I5" s="1"/>
      <c r="J5" s="1"/>
      <c r="K5" s="1"/>
      <c r="L5" s="1"/>
      <c r="M5" s="1"/>
      <c r="N5" s="1"/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8"/>
      <c r="D6" s="2"/>
      <c r="E6" s="1"/>
      <c r="F6" s="1"/>
      <c r="G6" s="11"/>
      <c r="H6" s="1"/>
      <c r="I6" s="1"/>
      <c r="J6" s="1"/>
      <c r="K6" s="1"/>
      <c r="L6" s="1"/>
      <c r="M6" s="1"/>
      <c r="N6" s="1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5</v>
      </c>
      <c r="C7" s="21" t="s">
        <v>6</v>
      </c>
      <c r="D7" s="23" t="s">
        <v>8</v>
      </c>
      <c r="E7" s="26" t="s">
        <v>9</v>
      </c>
      <c r="F7" s="29" t="s">
        <v>11</v>
      </c>
      <c r="G7" s="31" t="s">
        <v>12</v>
      </c>
      <c r="H7" s="29" t="s">
        <v>11</v>
      </c>
      <c r="I7" s="35" t="s">
        <v>16</v>
      </c>
      <c r="J7" s="36" t="s">
        <v>18</v>
      </c>
      <c r="K7" s="38"/>
      <c r="L7" s="38"/>
      <c r="M7" s="39"/>
      <c r="N7" s="1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2"/>
      <c r="C8" s="43" t="s">
        <v>21</v>
      </c>
      <c r="D8" s="44"/>
      <c r="E8" s="42"/>
      <c r="F8" s="46"/>
      <c r="G8" s="42"/>
      <c r="H8" s="46"/>
      <c r="I8" s="47"/>
      <c r="J8" s="49" t="s">
        <v>24</v>
      </c>
      <c r="K8" s="50" t="s">
        <v>11</v>
      </c>
      <c r="L8" s="52" t="s">
        <v>26</v>
      </c>
      <c r="M8" s="50" t="s">
        <v>11</v>
      </c>
      <c r="N8" s="1"/>
      <c r="O8" s="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4">
        <v>1.0</v>
      </c>
      <c r="C9" s="55" t="s">
        <v>29</v>
      </c>
      <c r="D9" s="57">
        <f>224444.44/1.11</f>
        <v>202202.1982</v>
      </c>
      <c r="E9" s="58">
        <v>338.0</v>
      </c>
      <c r="F9" s="59"/>
      <c r="G9" s="58">
        <v>338.0</v>
      </c>
      <c r="H9" s="59">
        <f t="shared" ref="H9:H726" si="1">G9*D9</f>
        <v>68344342.99</v>
      </c>
      <c r="I9" s="39"/>
      <c r="J9" s="39"/>
      <c r="K9" s="60">
        <f t="shared" ref="K9:K726" si="2">J9*D9</f>
        <v>0</v>
      </c>
      <c r="L9" s="39"/>
      <c r="M9" s="59">
        <f t="shared" ref="M9:M726" si="3">L9*D9</f>
        <v>0</v>
      </c>
      <c r="N9" s="61">
        <v>338.0</v>
      </c>
      <c r="O9" s="62">
        <f t="shared" ref="O9:O726" si="4">N9-G9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4">
        <v>2.0</v>
      </c>
      <c r="C10" s="56" t="s">
        <v>43</v>
      </c>
      <c r="D10" s="63">
        <f>83777.78/1.11</f>
        <v>75475.47748</v>
      </c>
      <c r="E10" s="58">
        <v>31.0</v>
      </c>
      <c r="F10" s="59">
        <f t="shared" ref="F10:F12" si="5">E10*D10</f>
        <v>2339739.802</v>
      </c>
      <c r="G10" s="58">
        <v>31.0</v>
      </c>
      <c r="H10" s="59">
        <f t="shared" si="1"/>
        <v>2339739.802</v>
      </c>
      <c r="I10" s="39"/>
      <c r="J10" s="39"/>
      <c r="K10" s="60">
        <f t="shared" si="2"/>
        <v>0</v>
      </c>
      <c r="L10" s="39"/>
      <c r="M10" s="59">
        <f t="shared" si="3"/>
        <v>0</v>
      </c>
      <c r="N10" s="61">
        <v>31.0</v>
      </c>
      <c r="O10" s="62">
        <f t="shared" si="4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4">
        <v>3.0</v>
      </c>
      <c r="C11" s="56" t="s">
        <v>49</v>
      </c>
      <c r="D11" s="63">
        <f>135666.67/1.11</f>
        <v>122222.2252</v>
      </c>
      <c r="E11" s="58">
        <v>46.0</v>
      </c>
      <c r="F11" s="59">
        <f t="shared" si="5"/>
        <v>5622222.36</v>
      </c>
      <c r="G11" s="58">
        <v>46.0</v>
      </c>
      <c r="H11" s="59">
        <f t="shared" si="1"/>
        <v>5622222.36</v>
      </c>
      <c r="I11" s="39"/>
      <c r="J11" s="39"/>
      <c r="K11" s="60">
        <f t="shared" si="2"/>
        <v>0</v>
      </c>
      <c r="L11" s="39"/>
      <c r="M11" s="59">
        <f t="shared" si="3"/>
        <v>0</v>
      </c>
      <c r="N11" s="61">
        <v>46.0</v>
      </c>
      <c r="O11" s="62">
        <f t="shared" si="4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4">
        <v>4.0</v>
      </c>
      <c r="C12" s="56" t="s">
        <v>51</v>
      </c>
      <c r="D12" s="63">
        <f>172666.67/1.11</f>
        <v>155555.5586</v>
      </c>
      <c r="E12" s="58">
        <v>107.0</v>
      </c>
      <c r="F12" s="59">
        <f t="shared" si="5"/>
        <v>16644444.77</v>
      </c>
      <c r="G12" s="58">
        <v>107.0</v>
      </c>
      <c r="H12" s="59">
        <f t="shared" si="1"/>
        <v>16644444.77</v>
      </c>
      <c r="I12" s="39"/>
      <c r="J12" s="39"/>
      <c r="K12" s="60">
        <f t="shared" si="2"/>
        <v>0</v>
      </c>
      <c r="L12" s="39"/>
      <c r="M12" s="59">
        <f t="shared" si="3"/>
        <v>0</v>
      </c>
      <c r="N12" s="61">
        <v>107.0</v>
      </c>
      <c r="O12" s="62">
        <f t="shared" si="4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4">
        <v>5.0</v>
      </c>
      <c r="C13" s="56" t="s">
        <v>53</v>
      </c>
      <c r="D13" s="63">
        <f>205000/1.11</f>
        <v>184684.6847</v>
      </c>
      <c r="E13" s="58">
        <v>0.0</v>
      </c>
      <c r="F13" s="59"/>
      <c r="G13" s="58">
        <v>0.0</v>
      </c>
      <c r="H13" s="59">
        <f t="shared" si="1"/>
        <v>0</v>
      </c>
      <c r="I13" s="39"/>
      <c r="J13" s="39"/>
      <c r="K13" s="60">
        <f t="shared" si="2"/>
        <v>0</v>
      </c>
      <c r="L13" s="39"/>
      <c r="M13" s="59">
        <f t="shared" si="3"/>
        <v>0</v>
      </c>
      <c r="N13" s="61">
        <v>0.0</v>
      </c>
      <c r="O13" s="62">
        <f t="shared" si="4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4">
        <v>6.0</v>
      </c>
      <c r="C14" s="56" t="s">
        <v>54</v>
      </c>
      <c r="D14" s="63">
        <f>132000/1.11</f>
        <v>118918.9189</v>
      </c>
      <c r="E14" s="58">
        <v>7.0</v>
      </c>
      <c r="F14" s="59">
        <f t="shared" ref="F14:F726" si="6">E14*D14</f>
        <v>832432.4324</v>
      </c>
      <c r="G14" s="58">
        <v>7.0</v>
      </c>
      <c r="H14" s="59">
        <f t="shared" si="1"/>
        <v>832432.4324</v>
      </c>
      <c r="I14" s="39"/>
      <c r="J14" s="39"/>
      <c r="K14" s="60">
        <f t="shared" si="2"/>
        <v>0</v>
      </c>
      <c r="L14" s="39"/>
      <c r="M14" s="59">
        <f t="shared" si="3"/>
        <v>0</v>
      </c>
      <c r="N14" s="61">
        <v>7.0</v>
      </c>
      <c r="O14" s="62">
        <f t="shared" si="4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4">
        <v>7.0</v>
      </c>
      <c r="C15" s="56" t="s">
        <v>55</v>
      </c>
      <c r="D15" s="63">
        <f>60333/1.11</f>
        <v>54354.05405</v>
      </c>
      <c r="E15" s="58">
        <v>104.0</v>
      </c>
      <c r="F15" s="59">
        <f t="shared" si="6"/>
        <v>5652821.622</v>
      </c>
      <c r="G15" s="58">
        <v>104.0</v>
      </c>
      <c r="H15" s="59">
        <f t="shared" si="1"/>
        <v>5652821.622</v>
      </c>
      <c r="I15" s="39"/>
      <c r="J15" s="39"/>
      <c r="K15" s="60">
        <f t="shared" si="2"/>
        <v>0</v>
      </c>
      <c r="L15" s="39"/>
      <c r="M15" s="59">
        <f t="shared" si="3"/>
        <v>0</v>
      </c>
      <c r="N15" s="61">
        <v>104.0</v>
      </c>
      <c r="O15" s="62">
        <f t="shared" si="4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4">
        <v>8.0</v>
      </c>
      <c r="C16" s="56" t="s">
        <v>56</v>
      </c>
      <c r="D16" s="67">
        <v>285000.0</v>
      </c>
      <c r="E16" s="58">
        <v>4.0</v>
      </c>
      <c r="F16" s="59">
        <f t="shared" si="6"/>
        <v>1140000</v>
      </c>
      <c r="G16" s="58">
        <v>4.0</v>
      </c>
      <c r="H16" s="59">
        <f t="shared" si="1"/>
        <v>1140000</v>
      </c>
      <c r="I16" s="39"/>
      <c r="J16" s="39"/>
      <c r="K16" s="60">
        <f t="shared" si="2"/>
        <v>0</v>
      </c>
      <c r="L16" s="39"/>
      <c r="M16" s="59">
        <f t="shared" si="3"/>
        <v>0</v>
      </c>
      <c r="N16" s="61">
        <v>4.0</v>
      </c>
      <c r="O16" s="62">
        <f t="shared" si="4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4">
        <v>9.0</v>
      </c>
      <c r="C17" s="56" t="s">
        <v>57</v>
      </c>
      <c r="D17" s="63">
        <f>152625/1.11</f>
        <v>137500</v>
      </c>
      <c r="E17" s="58">
        <v>12.0</v>
      </c>
      <c r="F17" s="59">
        <f t="shared" si="6"/>
        <v>1650000</v>
      </c>
      <c r="G17" s="58">
        <v>12.0</v>
      </c>
      <c r="H17" s="59">
        <f t="shared" si="1"/>
        <v>1650000</v>
      </c>
      <c r="I17" s="39"/>
      <c r="J17" s="39"/>
      <c r="K17" s="60">
        <f t="shared" si="2"/>
        <v>0</v>
      </c>
      <c r="L17" s="39"/>
      <c r="M17" s="59">
        <f t="shared" si="3"/>
        <v>0</v>
      </c>
      <c r="N17" s="61">
        <v>12.0</v>
      </c>
      <c r="O17" s="62">
        <f t="shared" si="4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4">
        <v>10.0</v>
      </c>
      <c r="C18" s="56" t="s">
        <v>58</v>
      </c>
      <c r="D18" s="63">
        <f>186945/1.11</f>
        <v>168418.9189</v>
      </c>
      <c r="E18" s="58">
        <v>413.0</v>
      </c>
      <c r="F18" s="59">
        <f t="shared" si="6"/>
        <v>69557013.51</v>
      </c>
      <c r="G18" s="58">
        <v>413.0</v>
      </c>
      <c r="H18" s="59">
        <f t="shared" si="1"/>
        <v>69557013.51</v>
      </c>
      <c r="I18" s="39"/>
      <c r="J18" s="39"/>
      <c r="K18" s="60">
        <f t="shared" si="2"/>
        <v>0</v>
      </c>
      <c r="L18" s="39"/>
      <c r="M18" s="59">
        <f t="shared" si="3"/>
        <v>0</v>
      </c>
      <c r="N18" s="61">
        <v>413.0</v>
      </c>
      <c r="O18" s="62">
        <f t="shared" si="4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4">
        <v>11.0</v>
      </c>
      <c r="C19" s="56" t="s">
        <v>59</v>
      </c>
      <c r="D19" s="63">
        <f>214335/1.11</f>
        <v>193094.5946</v>
      </c>
      <c r="E19" s="58">
        <v>488.0</v>
      </c>
      <c r="F19" s="59">
        <f t="shared" si="6"/>
        <v>94230162.16</v>
      </c>
      <c r="G19" s="58">
        <v>488.0</v>
      </c>
      <c r="H19" s="59">
        <f t="shared" si="1"/>
        <v>94230162.16</v>
      </c>
      <c r="I19" s="39"/>
      <c r="J19" s="39"/>
      <c r="K19" s="60">
        <f t="shared" si="2"/>
        <v>0</v>
      </c>
      <c r="L19" s="39"/>
      <c r="M19" s="59">
        <f t="shared" si="3"/>
        <v>0</v>
      </c>
      <c r="N19" s="61">
        <v>488.0</v>
      </c>
      <c r="O19" s="62">
        <f t="shared" si="4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4">
        <v>12.0</v>
      </c>
      <c r="C20" s="56" t="s">
        <v>60</v>
      </c>
      <c r="D20" s="67">
        <v>193094.59</v>
      </c>
      <c r="E20" s="58">
        <v>122.0</v>
      </c>
      <c r="F20" s="59">
        <f t="shared" si="6"/>
        <v>23557539.98</v>
      </c>
      <c r="G20" s="58">
        <v>122.0</v>
      </c>
      <c r="H20" s="59">
        <f t="shared" si="1"/>
        <v>23557539.98</v>
      </c>
      <c r="I20" s="39"/>
      <c r="J20" s="39"/>
      <c r="K20" s="60">
        <f t="shared" si="2"/>
        <v>0</v>
      </c>
      <c r="L20" s="39"/>
      <c r="M20" s="59">
        <f t="shared" si="3"/>
        <v>0</v>
      </c>
      <c r="N20" s="61">
        <v>122.0</v>
      </c>
      <c r="O20" s="62">
        <f t="shared" si="4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4">
        <v>13.0</v>
      </c>
      <c r="C21" s="56" t="s">
        <v>61</v>
      </c>
      <c r="D21" s="63">
        <f>199980/1.11</f>
        <v>180162.1622</v>
      </c>
      <c r="E21" s="56">
        <v>30.0</v>
      </c>
      <c r="F21" s="59">
        <f t="shared" si="6"/>
        <v>5404864.865</v>
      </c>
      <c r="G21" s="56">
        <v>30.0</v>
      </c>
      <c r="H21" s="59">
        <f t="shared" si="1"/>
        <v>5404864.865</v>
      </c>
      <c r="I21" s="39"/>
      <c r="J21" s="39"/>
      <c r="K21" s="60">
        <f t="shared" si="2"/>
        <v>0</v>
      </c>
      <c r="L21" s="39"/>
      <c r="M21" s="59">
        <f t="shared" si="3"/>
        <v>0</v>
      </c>
      <c r="N21" s="61">
        <v>30.0</v>
      </c>
      <c r="O21" s="62">
        <f t="shared" si="4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4">
        <v>14.0</v>
      </c>
      <c r="C22" s="56" t="s">
        <v>62</v>
      </c>
      <c r="D22" s="67">
        <v>285000.0</v>
      </c>
      <c r="E22" s="56">
        <v>31.0</v>
      </c>
      <c r="F22" s="59">
        <f t="shared" si="6"/>
        <v>8835000</v>
      </c>
      <c r="G22" s="56">
        <v>31.0</v>
      </c>
      <c r="H22" s="59">
        <f t="shared" si="1"/>
        <v>8835000</v>
      </c>
      <c r="I22" s="39"/>
      <c r="J22" s="39"/>
      <c r="K22" s="60">
        <f t="shared" si="2"/>
        <v>0</v>
      </c>
      <c r="L22" s="39"/>
      <c r="M22" s="59">
        <f t="shared" si="3"/>
        <v>0</v>
      </c>
      <c r="N22" s="61">
        <v>31.0</v>
      </c>
      <c r="O22" s="62">
        <f t="shared" si="4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4">
        <v>15.0</v>
      </c>
      <c r="C23" s="56" t="s">
        <v>63</v>
      </c>
      <c r="D23" s="67">
        <v>253200.0</v>
      </c>
      <c r="E23" s="56">
        <v>123.0</v>
      </c>
      <c r="F23" s="59">
        <f t="shared" si="6"/>
        <v>31143600</v>
      </c>
      <c r="G23" s="56">
        <v>123.0</v>
      </c>
      <c r="H23" s="59">
        <f t="shared" si="1"/>
        <v>31143600</v>
      </c>
      <c r="I23" s="39"/>
      <c r="J23" s="39"/>
      <c r="K23" s="60">
        <f t="shared" si="2"/>
        <v>0</v>
      </c>
      <c r="L23" s="39"/>
      <c r="M23" s="59">
        <f t="shared" si="3"/>
        <v>0</v>
      </c>
      <c r="N23" s="61">
        <v>123.0</v>
      </c>
      <c r="O23" s="62">
        <f t="shared" si="4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4">
        <v>16.0</v>
      </c>
      <c r="C24" s="56" t="s">
        <v>64</v>
      </c>
      <c r="D24" s="67">
        <v>285000.0</v>
      </c>
      <c r="E24" s="56">
        <v>34.0</v>
      </c>
      <c r="F24" s="59">
        <f t="shared" si="6"/>
        <v>9690000</v>
      </c>
      <c r="G24" s="56">
        <v>34.0</v>
      </c>
      <c r="H24" s="59">
        <f t="shared" si="1"/>
        <v>9690000</v>
      </c>
      <c r="I24" s="39"/>
      <c r="J24" s="39"/>
      <c r="K24" s="60">
        <f t="shared" si="2"/>
        <v>0</v>
      </c>
      <c r="L24" s="39"/>
      <c r="M24" s="59">
        <f t="shared" si="3"/>
        <v>0</v>
      </c>
      <c r="N24" s="61">
        <v>34.0</v>
      </c>
      <c r="O24" s="62">
        <f t="shared" si="4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4">
        <v>17.0</v>
      </c>
      <c r="C25" s="56" t="s">
        <v>65</v>
      </c>
      <c r="D25" s="67">
        <v>299250.0</v>
      </c>
      <c r="E25" s="56">
        <v>1493.0</v>
      </c>
      <c r="F25" s="59">
        <f t="shared" si="6"/>
        <v>446780250</v>
      </c>
      <c r="G25" s="56">
        <v>1493.0</v>
      </c>
      <c r="H25" s="59">
        <f t="shared" si="1"/>
        <v>446780250</v>
      </c>
      <c r="I25" s="39"/>
      <c r="J25" s="39"/>
      <c r="K25" s="60">
        <f t="shared" si="2"/>
        <v>0</v>
      </c>
      <c r="L25" s="39"/>
      <c r="M25" s="59">
        <f t="shared" si="3"/>
        <v>0</v>
      </c>
      <c r="N25" s="61">
        <v>1493.0</v>
      </c>
      <c r="O25" s="62">
        <f t="shared" si="4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4">
        <v>18.0</v>
      </c>
      <c r="C26" s="56" t="s">
        <v>66</v>
      </c>
      <c r="D26" s="67">
        <v>280285.59</v>
      </c>
      <c r="E26" s="56">
        <v>973.0</v>
      </c>
      <c r="F26" s="59">
        <f t="shared" si="6"/>
        <v>272717879.1</v>
      </c>
      <c r="G26" s="56">
        <v>973.0</v>
      </c>
      <c r="H26" s="59">
        <f t="shared" si="1"/>
        <v>272717879.1</v>
      </c>
      <c r="I26" s="39"/>
      <c r="J26" s="39"/>
      <c r="K26" s="60">
        <f t="shared" si="2"/>
        <v>0</v>
      </c>
      <c r="L26" s="39"/>
      <c r="M26" s="59">
        <f t="shared" si="3"/>
        <v>0</v>
      </c>
      <c r="N26" s="61">
        <v>973.0</v>
      </c>
      <c r="O26" s="62">
        <f t="shared" si="4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4">
        <v>19.0</v>
      </c>
      <c r="C27" s="56" t="s">
        <v>67</v>
      </c>
      <c r="D27" s="63">
        <f>148500/1.11</f>
        <v>133783.7838</v>
      </c>
      <c r="E27" s="56">
        <v>21.0</v>
      </c>
      <c r="F27" s="59">
        <f t="shared" si="6"/>
        <v>2809459.459</v>
      </c>
      <c r="G27" s="56">
        <v>21.0</v>
      </c>
      <c r="H27" s="59">
        <f t="shared" si="1"/>
        <v>2809459.459</v>
      </c>
      <c r="I27" s="39"/>
      <c r="J27" s="39"/>
      <c r="K27" s="60">
        <f t="shared" si="2"/>
        <v>0</v>
      </c>
      <c r="L27" s="39"/>
      <c r="M27" s="59">
        <f t="shared" si="3"/>
        <v>0</v>
      </c>
      <c r="N27" s="61">
        <v>21.0</v>
      </c>
      <c r="O27" s="62">
        <f t="shared" si="4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4">
        <v>20.0</v>
      </c>
      <c r="C28" s="56" t="s">
        <v>68</v>
      </c>
      <c r="D28" s="63">
        <f>195030/1.11</f>
        <v>175702.7027</v>
      </c>
      <c r="E28" s="56">
        <v>503.0</v>
      </c>
      <c r="F28" s="59">
        <f t="shared" si="6"/>
        <v>88378459.46</v>
      </c>
      <c r="G28" s="56">
        <v>503.0</v>
      </c>
      <c r="H28" s="59">
        <f t="shared" si="1"/>
        <v>88378459.46</v>
      </c>
      <c r="I28" s="39"/>
      <c r="J28" s="39"/>
      <c r="K28" s="60">
        <f t="shared" si="2"/>
        <v>0</v>
      </c>
      <c r="L28" s="39"/>
      <c r="M28" s="59">
        <f t="shared" si="3"/>
        <v>0</v>
      </c>
      <c r="N28" s="68">
        <v>503.0</v>
      </c>
      <c r="O28" s="62">
        <f t="shared" si="4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4">
        <v>21.0</v>
      </c>
      <c r="C29" s="56" t="s">
        <v>69</v>
      </c>
      <c r="D29" s="63">
        <f>362970/1.11</f>
        <v>327000</v>
      </c>
      <c r="E29" s="56">
        <v>249.0</v>
      </c>
      <c r="F29" s="59">
        <f t="shared" si="6"/>
        <v>81423000</v>
      </c>
      <c r="G29" s="56">
        <v>249.0</v>
      </c>
      <c r="H29" s="59">
        <f t="shared" si="1"/>
        <v>81423000</v>
      </c>
      <c r="I29" s="39"/>
      <c r="J29" s="39"/>
      <c r="K29" s="60">
        <f t="shared" si="2"/>
        <v>0</v>
      </c>
      <c r="L29" s="39"/>
      <c r="M29" s="59">
        <f t="shared" si="3"/>
        <v>0</v>
      </c>
      <c r="N29" s="61">
        <v>249.0</v>
      </c>
      <c r="O29" s="62">
        <f t="shared" si="4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4">
        <v>22.0</v>
      </c>
      <c r="C30" s="56" t="s">
        <v>70</v>
      </c>
      <c r="D30" s="67">
        <f>180000/1.11</f>
        <v>162162.1622</v>
      </c>
      <c r="E30" s="56">
        <v>139.0</v>
      </c>
      <c r="F30" s="59">
        <f t="shared" si="6"/>
        <v>22540540.54</v>
      </c>
      <c r="G30" s="56">
        <v>139.0</v>
      </c>
      <c r="H30" s="59">
        <f t="shared" si="1"/>
        <v>22540540.54</v>
      </c>
      <c r="I30" s="39"/>
      <c r="J30" s="39"/>
      <c r="K30" s="60">
        <f t="shared" si="2"/>
        <v>0</v>
      </c>
      <c r="L30" s="39"/>
      <c r="M30" s="59">
        <f t="shared" si="3"/>
        <v>0</v>
      </c>
      <c r="N30" s="61">
        <v>139.0</v>
      </c>
      <c r="O30" s="62">
        <f t="shared" si="4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4">
        <v>23.0</v>
      </c>
      <c r="C31" s="56" t="s">
        <v>71</v>
      </c>
      <c r="D31" s="63">
        <f>216315/1.11</f>
        <v>194878.3784</v>
      </c>
      <c r="E31" s="56">
        <v>31.5</v>
      </c>
      <c r="F31" s="59">
        <f t="shared" si="6"/>
        <v>6138668.919</v>
      </c>
      <c r="G31" s="56">
        <v>31.5</v>
      </c>
      <c r="H31" s="59">
        <f t="shared" si="1"/>
        <v>6138668.919</v>
      </c>
      <c r="I31" s="39"/>
      <c r="J31" s="39"/>
      <c r="K31" s="60">
        <f t="shared" si="2"/>
        <v>0</v>
      </c>
      <c r="L31" s="39"/>
      <c r="M31" s="59">
        <f t="shared" si="3"/>
        <v>0</v>
      </c>
      <c r="N31" s="61">
        <v>31.5</v>
      </c>
      <c r="O31" s="62">
        <f t="shared" si="4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4">
        <v>24.0</v>
      </c>
      <c r="C32" s="56" t="s">
        <v>72</v>
      </c>
      <c r="D32" s="63">
        <f>47277.78/1.11</f>
        <v>42592.59459</v>
      </c>
      <c r="E32" s="56">
        <v>165.4</v>
      </c>
      <c r="F32" s="59">
        <f t="shared" si="6"/>
        <v>7044815.146</v>
      </c>
      <c r="G32" s="56">
        <v>165.4</v>
      </c>
      <c r="H32" s="59">
        <f t="shared" si="1"/>
        <v>7044815.146</v>
      </c>
      <c r="I32" s="39"/>
      <c r="J32" s="39"/>
      <c r="K32" s="60">
        <f t="shared" si="2"/>
        <v>0</v>
      </c>
      <c r="L32" s="39"/>
      <c r="M32" s="59">
        <f t="shared" si="3"/>
        <v>0</v>
      </c>
      <c r="N32" s="61">
        <v>165.4</v>
      </c>
      <c r="O32" s="62">
        <f t="shared" si="4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4">
        <v>25.0</v>
      </c>
      <c r="C33" s="56" t="s">
        <v>73</v>
      </c>
      <c r="D33" s="63">
        <f t="shared" ref="D33:D34" si="7">47000/1.11</f>
        <v>42342.34234</v>
      </c>
      <c r="E33" s="56">
        <v>50.0</v>
      </c>
      <c r="F33" s="59">
        <f t="shared" si="6"/>
        <v>2117117.117</v>
      </c>
      <c r="G33" s="56">
        <v>50.0</v>
      </c>
      <c r="H33" s="59">
        <f t="shared" si="1"/>
        <v>2117117.117</v>
      </c>
      <c r="I33" s="39"/>
      <c r="J33" s="39"/>
      <c r="K33" s="60">
        <f t="shared" si="2"/>
        <v>0</v>
      </c>
      <c r="L33" s="39"/>
      <c r="M33" s="59">
        <f t="shared" si="3"/>
        <v>0</v>
      </c>
      <c r="N33" s="61">
        <v>50.0</v>
      </c>
      <c r="O33" s="62">
        <f t="shared" si="4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4">
        <v>26.0</v>
      </c>
      <c r="C34" s="56" t="s">
        <v>74</v>
      </c>
      <c r="D34" s="63">
        <f t="shared" si="7"/>
        <v>42342.34234</v>
      </c>
      <c r="E34" s="56">
        <v>750.0</v>
      </c>
      <c r="F34" s="59">
        <f t="shared" si="6"/>
        <v>31756756.76</v>
      </c>
      <c r="G34" s="56">
        <v>750.0</v>
      </c>
      <c r="H34" s="59">
        <f t="shared" si="1"/>
        <v>31756756.76</v>
      </c>
      <c r="I34" s="39"/>
      <c r="J34" s="39"/>
      <c r="K34" s="60">
        <f t="shared" si="2"/>
        <v>0</v>
      </c>
      <c r="L34" s="39"/>
      <c r="M34" s="59">
        <f t="shared" si="3"/>
        <v>0</v>
      </c>
      <c r="N34" s="61">
        <v>750.0</v>
      </c>
      <c r="O34" s="62">
        <f t="shared" si="4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4">
        <v>27.0</v>
      </c>
      <c r="C35" s="56" t="s">
        <v>75</v>
      </c>
      <c r="D35" s="63">
        <f>19214.29/1.11</f>
        <v>17310.17117</v>
      </c>
      <c r="E35" s="56">
        <v>360.0</v>
      </c>
      <c r="F35" s="59">
        <f t="shared" si="6"/>
        <v>6231661.622</v>
      </c>
      <c r="G35" s="56">
        <v>360.0</v>
      </c>
      <c r="H35" s="59">
        <f t="shared" si="1"/>
        <v>6231661.622</v>
      </c>
      <c r="I35" s="39"/>
      <c r="J35" s="39"/>
      <c r="K35" s="60">
        <f t="shared" si="2"/>
        <v>0</v>
      </c>
      <c r="L35" s="39"/>
      <c r="M35" s="59">
        <f t="shared" si="3"/>
        <v>0</v>
      </c>
      <c r="N35" s="61">
        <v>360.0</v>
      </c>
      <c r="O35" s="62">
        <f t="shared" si="4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4">
        <v>28.0</v>
      </c>
      <c r="C36" s="56" t="s">
        <v>76</v>
      </c>
      <c r="D36" s="67">
        <v>221900.0</v>
      </c>
      <c r="E36" s="56">
        <v>57.0</v>
      </c>
      <c r="F36" s="59">
        <f t="shared" si="6"/>
        <v>12648300</v>
      </c>
      <c r="G36" s="56">
        <v>57.0</v>
      </c>
      <c r="H36" s="59">
        <f t="shared" si="1"/>
        <v>12648300</v>
      </c>
      <c r="I36" s="39"/>
      <c r="J36" s="39"/>
      <c r="K36" s="60">
        <f t="shared" si="2"/>
        <v>0</v>
      </c>
      <c r="L36" s="39"/>
      <c r="M36" s="59">
        <f t="shared" si="3"/>
        <v>0</v>
      </c>
      <c r="N36" s="61">
        <v>57.0</v>
      </c>
      <c r="O36" s="62">
        <f t="shared" si="4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4">
        <v>29.0</v>
      </c>
      <c r="C37" s="56" t="s">
        <v>77</v>
      </c>
      <c r="D37" s="67">
        <v>1682000.0</v>
      </c>
      <c r="E37" s="56">
        <v>6.0</v>
      </c>
      <c r="F37" s="59">
        <f t="shared" si="6"/>
        <v>10092000</v>
      </c>
      <c r="G37" s="56">
        <v>6.0</v>
      </c>
      <c r="H37" s="59">
        <f t="shared" si="1"/>
        <v>10092000</v>
      </c>
      <c r="I37" s="39"/>
      <c r="J37" s="39"/>
      <c r="K37" s="60">
        <f t="shared" si="2"/>
        <v>0</v>
      </c>
      <c r="L37" s="39"/>
      <c r="M37" s="59">
        <f t="shared" si="3"/>
        <v>0</v>
      </c>
      <c r="N37" s="61">
        <v>6.0</v>
      </c>
      <c r="O37" s="62">
        <f t="shared" si="4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4">
        <v>30.0</v>
      </c>
      <c r="C38" s="56" t="s">
        <v>78</v>
      </c>
      <c r="D38" s="67">
        <v>3200.0</v>
      </c>
      <c r="E38" s="56">
        <v>1094.2</v>
      </c>
      <c r="F38" s="59">
        <f t="shared" si="6"/>
        <v>3501440</v>
      </c>
      <c r="G38" s="56">
        <v>1094.2</v>
      </c>
      <c r="H38" s="59">
        <f t="shared" si="1"/>
        <v>3501440</v>
      </c>
      <c r="I38" s="39"/>
      <c r="J38" s="39"/>
      <c r="K38" s="60">
        <f t="shared" si="2"/>
        <v>0</v>
      </c>
      <c r="L38" s="39"/>
      <c r="M38" s="59">
        <f t="shared" si="3"/>
        <v>0</v>
      </c>
      <c r="N38" s="61">
        <v>1094.2</v>
      </c>
      <c r="O38" s="62">
        <f t="shared" si="4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4">
        <v>31.0</v>
      </c>
      <c r="C39" s="56" t="s">
        <v>79</v>
      </c>
      <c r="D39" s="67">
        <v>5200.0</v>
      </c>
      <c r="E39" s="56">
        <v>11639.0</v>
      </c>
      <c r="F39" s="59">
        <f t="shared" si="6"/>
        <v>60522800</v>
      </c>
      <c r="G39" s="56">
        <v>11639.0</v>
      </c>
      <c r="H39" s="59">
        <f t="shared" si="1"/>
        <v>60522800</v>
      </c>
      <c r="I39" s="39"/>
      <c r="J39" s="39"/>
      <c r="K39" s="60">
        <f t="shared" si="2"/>
        <v>0</v>
      </c>
      <c r="L39" s="39"/>
      <c r="M39" s="59">
        <f t="shared" si="3"/>
        <v>0</v>
      </c>
      <c r="N39" s="69">
        <v>11639.0</v>
      </c>
      <c r="O39" s="62">
        <f t="shared" si="4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4">
        <v>32.0</v>
      </c>
      <c r="C40" s="56" t="s">
        <v>80</v>
      </c>
      <c r="D40" s="67">
        <v>5200.0</v>
      </c>
      <c r="E40" s="56">
        <v>9182.15</v>
      </c>
      <c r="F40" s="59">
        <f t="shared" si="6"/>
        <v>47747180</v>
      </c>
      <c r="G40" s="56">
        <v>9182.15</v>
      </c>
      <c r="H40" s="59">
        <f t="shared" si="1"/>
        <v>47747180</v>
      </c>
      <c r="I40" s="39"/>
      <c r="J40" s="39"/>
      <c r="K40" s="60">
        <f t="shared" si="2"/>
        <v>0</v>
      </c>
      <c r="L40" s="39"/>
      <c r="M40" s="59">
        <f t="shared" si="3"/>
        <v>0</v>
      </c>
      <c r="N40" s="69">
        <v>9182.15</v>
      </c>
      <c r="O40" s="62">
        <f t="shared" si="4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4">
        <v>33.0</v>
      </c>
      <c r="C41" s="56" t="s">
        <v>81</v>
      </c>
      <c r="D41" s="67">
        <v>3200.0</v>
      </c>
      <c r="E41" s="56">
        <v>3859.0</v>
      </c>
      <c r="F41" s="59">
        <f t="shared" si="6"/>
        <v>12348800</v>
      </c>
      <c r="G41" s="56">
        <v>3859.0</v>
      </c>
      <c r="H41" s="59">
        <f t="shared" si="1"/>
        <v>12348800</v>
      </c>
      <c r="I41" s="39"/>
      <c r="J41" s="39"/>
      <c r="K41" s="60">
        <f t="shared" si="2"/>
        <v>0</v>
      </c>
      <c r="L41" s="39"/>
      <c r="M41" s="59">
        <f t="shared" si="3"/>
        <v>0</v>
      </c>
      <c r="N41" s="69">
        <v>3859.0</v>
      </c>
      <c r="O41" s="62">
        <f t="shared" si="4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4">
        <v>34.0</v>
      </c>
      <c r="C42" s="56" t="s">
        <v>82</v>
      </c>
      <c r="D42" s="67">
        <v>3200.0</v>
      </c>
      <c r="E42" s="56">
        <v>3295.0</v>
      </c>
      <c r="F42" s="59">
        <f t="shared" si="6"/>
        <v>10544000</v>
      </c>
      <c r="G42" s="56">
        <v>3295.0</v>
      </c>
      <c r="H42" s="59">
        <f t="shared" si="1"/>
        <v>10544000</v>
      </c>
      <c r="I42" s="39"/>
      <c r="J42" s="39"/>
      <c r="K42" s="60">
        <f t="shared" si="2"/>
        <v>0</v>
      </c>
      <c r="L42" s="39"/>
      <c r="M42" s="59">
        <f t="shared" si="3"/>
        <v>0</v>
      </c>
      <c r="N42" s="69">
        <v>3295.0</v>
      </c>
      <c r="O42" s="62">
        <f t="shared" si="4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4">
        <v>35.0</v>
      </c>
      <c r="C43" s="56" t="s">
        <v>83</v>
      </c>
      <c r="D43" s="67">
        <v>7966.0</v>
      </c>
      <c r="E43" s="56">
        <v>51744.0</v>
      </c>
      <c r="F43" s="59">
        <f t="shared" si="6"/>
        <v>412192704</v>
      </c>
      <c r="G43" s="56">
        <v>5174.4</v>
      </c>
      <c r="H43" s="59">
        <f t="shared" si="1"/>
        <v>41219270.4</v>
      </c>
      <c r="I43" s="39"/>
      <c r="J43" s="39"/>
      <c r="K43" s="60">
        <f t="shared" si="2"/>
        <v>0</v>
      </c>
      <c r="L43" s="39"/>
      <c r="M43" s="59">
        <f t="shared" si="3"/>
        <v>0</v>
      </c>
      <c r="N43" s="69">
        <v>5174.4</v>
      </c>
      <c r="O43" s="62">
        <f t="shared" si="4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4">
        <v>36.0</v>
      </c>
      <c r="C44" s="56" t="s">
        <v>84</v>
      </c>
      <c r="D44" s="67">
        <v>4172.0</v>
      </c>
      <c r="E44" s="56">
        <v>5646.2</v>
      </c>
      <c r="F44" s="59">
        <f t="shared" si="6"/>
        <v>23555946.4</v>
      </c>
      <c r="G44" s="56">
        <v>5646.2</v>
      </c>
      <c r="H44" s="59">
        <f t="shared" si="1"/>
        <v>23555946.4</v>
      </c>
      <c r="I44" s="39"/>
      <c r="J44" s="39"/>
      <c r="K44" s="60">
        <f t="shared" si="2"/>
        <v>0</v>
      </c>
      <c r="L44" s="39"/>
      <c r="M44" s="59">
        <f t="shared" si="3"/>
        <v>0</v>
      </c>
      <c r="N44" s="69">
        <v>5646.2</v>
      </c>
      <c r="O44" s="62">
        <f t="shared" si="4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4">
        <v>37.0</v>
      </c>
      <c r="C45" s="56" t="s">
        <v>85</v>
      </c>
      <c r="D45" s="67">
        <v>2252.25</v>
      </c>
      <c r="E45" s="56">
        <v>433.0</v>
      </c>
      <c r="F45" s="59">
        <f t="shared" si="6"/>
        <v>975224.25</v>
      </c>
      <c r="G45" s="56">
        <v>433.0</v>
      </c>
      <c r="H45" s="59">
        <f t="shared" si="1"/>
        <v>975224.25</v>
      </c>
      <c r="I45" s="39"/>
      <c r="J45" s="39"/>
      <c r="K45" s="60">
        <f t="shared" si="2"/>
        <v>0</v>
      </c>
      <c r="L45" s="39"/>
      <c r="M45" s="59">
        <f t="shared" si="3"/>
        <v>0</v>
      </c>
      <c r="N45" s="69">
        <v>433.0</v>
      </c>
      <c r="O45" s="62">
        <f t="shared" si="4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4">
        <v>38.0</v>
      </c>
      <c r="C46" s="56" t="s">
        <v>86</v>
      </c>
      <c r="D46" s="67">
        <v>4504.5</v>
      </c>
      <c r="E46" s="56">
        <v>200.0</v>
      </c>
      <c r="F46" s="59">
        <f t="shared" si="6"/>
        <v>900900</v>
      </c>
      <c r="G46" s="56">
        <v>200.0</v>
      </c>
      <c r="H46" s="59">
        <f t="shared" si="1"/>
        <v>900900</v>
      </c>
      <c r="I46" s="39"/>
      <c r="J46" s="39"/>
      <c r="K46" s="60">
        <f t="shared" si="2"/>
        <v>0</v>
      </c>
      <c r="L46" s="39"/>
      <c r="M46" s="59">
        <f t="shared" si="3"/>
        <v>0</v>
      </c>
      <c r="N46" s="69">
        <v>200.0</v>
      </c>
      <c r="O46" s="62">
        <f t="shared" si="4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4">
        <v>39.0</v>
      </c>
      <c r="C47" s="56" t="s">
        <v>87</v>
      </c>
      <c r="D47" s="67">
        <v>5405.41</v>
      </c>
      <c r="E47" s="56">
        <v>800.0</v>
      </c>
      <c r="F47" s="59">
        <f t="shared" si="6"/>
        <v>4324328</v>
      </c>
      <c r="G47" s="56">
        <v>800.0</v>
      </c>
      <c r="H47" s="59">
        <f t="shared" si="1"/>
        <v>4324328</v>
      </c>
      <c r="I47" s="39"/>
      <c r="J47" s="39"/>
      <c r="K47" s="60">
        <f t="shared" si="2"/>
        <v>0</v>
      </c>
      <c r="L47" s="39"/>
      <c r="M47" s="59">
        <f t="shared" si="3"/>
        <v>0</v>
      </c>
      <c r="N47" s="69">
        <v>800.0</v>
      </c>
      <c r="O47" s="62">
        <f t="shared" si="4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4">
        <v>40.0</v>
      </c>
      <c r="C48" s="56" t="s">
        <v>88</v>
      </c>
      <c r="D48" s="67">
        <v>5405.41</v>
      </c>
      <c r="E48" s="56">
        <v>1000.0</v>
      </c>
      <c r="F48" s="59">
        <f t="shared" si="6"/>
        <v>5405410</v>
      </c>
      <c r="G48" s="56">
        <v>1000.0</v>
      </c>
      <c r="H48" s="59">
        <f t="shared" si="1"/>
        <v>5405410</v>
      </c>
      <c r="I48" s="39"/>
      <c r="J48" s="39"/>
      <c r="K48" s="60">
        <f t="shared" si="2"/>
        <v>0</v>
      </c>
      <c r="L48" s="39"/>
      <c r="M48" s="59">
        <f t="shared" si="3"/>
        <v>0</v>
      </c>
      <c r="N48" s="69">
        <v>1000.0</v>
      </c>
      <c r="O48" s="62">
        <f t="shared" si="4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4">
        <v>41.0</v>
      </c>
      <c r="C49" s="56" t="s">
        <v>89</v>
      </c>
      <c r="D49" s="67">
        <v>10810.81</v>
      </c>
      <c r="E49" s="56">
        <v>200.0</v>
      </c>
      <c r="F49" s="59">
        <f t="shared" si="6"/>
        <v>2162162</v>
      </c>
      <c r="G49" s="56">
        <v>200.0</v>
      </c>
      <c r="H49" s="59">
        <f t="shared" si="1"/>
        <v>2162162</v>
      </c>
      <c r="I49" s="39"/>
      <c r="J49" s="39"/>
      <c r="K49" s="60">
        <f t="shared" si="2"/>
        <v>0</v>
      </c>
      <c r="L49" s="39"/>
      <c r="M49" s="59">
        <f t="shared" si="3"/>
        <v>0</v>
      </c>
      <c r="N49" s="69">
        <v>200.0</v>
      </c>
      <c r="O49" s="62">
        <f t="shared" si="4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4">
        <v>42.0</v>
      </c>
      <c r="C50" s="56" t="s">
        <v>90</v>
      </c>
      <c r="D50" s="67">
        <v>5405.41</v>
      </c>
      <c r="E50" s="56">
        <v>200.0</v>
      </c>
      <c r="F50" s="59">
        <f t="shared" si="6"/>
        <v>1081082</v>
      </c>
      <c r="G50" s="56">
        <v>200.0</v>
      </c>
      <c r="H50" s="59">
        <f t="shared" si="1"/>
        <v>1081082</v>
      </c>
      <c r="I50" s="39"/>
      <c r="J50" s="39"/>
      <c r="K50" s="60">
        <f t="shared" si="2"/>
        <v>0</v>
      </c>
      <c r="L50" s="39"/>
      <c r="M50" s="59">
        <f t="shared" si="3"/>
        <v>0</v>
      </c>
      <c r="N50" s="69">
        <v>200.0</v>
      </c>
      <c r="O50" s="62">
        <f t="shared" si="4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4">
        <v>43.0</v>
      </c>
      <c r="C51" s="56" t="s">
        <v>91</v>
      </c>
      <c r="D51" s="67">
        <v>5405.41</v>
      </c>
      <c r="E51" s="56">
        <v>350.0</v>
      </c>
      <c r="F51" s="59">
        <f t="shared" si="6"/>
        <v>1891893.5</v>
      </c>
      <c r="G51" s="56">
        <v>350.0</v>
      </c>
      <c r="H51" s="59">
        <f t="shared" si="1"/>
        <v>1891893.5</v>
      </c>
      <c r="I51" s="39"/>
      <c r="J51" s="39"/>
      <c r="K51" s="60">
        <f t="shared" si="2"/>
        <v>0</v>
      </c>
      <c r="L51" s="39"/>
      <c r="M51" s="59">
        <f t="shared" si="3"/>
        <v>0</v>
      </c>
      <c r="N51" s="69">
        <v>350.0</v>
      </c>
      <c r="O51" s="62">
        <f t="shared" si="4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4">
        <v>44.0</v>
      </c>
      <c r="C52" s="56" t="s">
        <v>92</v>
      </c>
      <c r="D52" s="67">
        <v>2702.7</v>
      </c>
      <c r="E52" s="56">
        <v>200.0</v>
      </c>
      <c r="F52" s="59">
        <f t="shared" si="6"/>
        <v>540540</v>
      </c>
      <c r="G52" s="56">
        <v>200.0</v>
      </c>
      <c r="H52" s="59">
        <f t="shared" si="1"/>
        <v>540540</v>
      </c>
      <c r="I52" s="39"/>
      <c r="J52" s="39"/>
      <c r="K52" s="60">
        <f t="shared" si="2"/>
        <v>0</v>
      </c>
      <c r="L52" s="39"/>
      <c r="M52" s="59">
        <f t="shared" si="3"/>
        <v>0</v>
      </c>
      <c r="N52" s="69">
        <v>200.0</v>
      </c>
      <c r="O52" s="62">
        <f t="shared" si="4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4">
        <v>45.0</v>
      </c>
      <c r="C53" s="56" t="s">
        <v>93</v>
      </c>
      <c r="D53" s="67">
        <v>2702.7</v>
      </c>
      <c r="E53" s="56">
        <v>200.0</v>
      </c>
      <c r="F53" s="59">
        <f t="shared" si="6"/>
        <v>540540</v>
      </c>
      <c r="G53" s="56">
        <v>200.0</v>
      </c>
      <c r="H53" s="59">
        <f t="shared" si="1"/>
        <v>540540</v>
      </c>
      <c r="I53" s="39"/>
      <c r="J53" s="39"/>
      <c r="K53" s="60">
        <f t="shared" si="2"/>
        <v>0</v>
      </c>
      <c r="L53" s="39"/>
      <c r="M53" s="59">
        <f t="shared" si="3"/>
        <v>0</v>
      </c>
      <c r="N53" s="69">
        <v>200.0</v>
      </c>
      <c r="O53" s="62">
        <f t="shared" si="4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4">
        <v>46.0</v>
      </c>
      <c r="C54" s="56" t="s">
        <v>94</v>
      </c>
      <c r="D54" s="67">
        <v>2702.7</v>
      </c>
      <c r="E54" s="56">
        <v>600.0</v>
      </c>
      <c r="F54" s="59">
        <f t="shared" si="6"/>
        <v>1621620</v>
      </c>
      <c r="G54" s="56">
        <v>600.0</v>
      </c>
      <c r="H54" s="59">
        <f t="shared" si="1"/>
        <v>1621620</v>
      </c>
      <c r="I54" s="39"/>
      <c r="J54" s="39"/>
      <c r="K54" s="60">
        <f t="shared" si="2"/>
        <v>0</v>
      </c>
      <c r="L54" s="39"/>
      <c r="M54" s="59">
        <f t="shared" si="3"/>
        <v>0</v>
      </c>
      <c r="N54" s="69">
        <v>600.0</v>
      </c>
      <c r="O54" s="62">
        <f t="shared" si="4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4">
        <v>47.0</v>
      </c>
      <c r="C55" s="56" t="s">
        <v>95</v>
      </c>
      <c r="D55" s="67">
        <v>2702.7</v>
      </c>
      <c r="E55" s="56">
        <v>200.0</v>
      </c>
      <c r="F55" s="59">
        <f t="shared" si="6"/>
        <v>540540</v>
      </c>
      <c r="G55" s="56">
        <v>200.0</v>
      </c>
      <c r="H55" s="59">
        <f t="shared" si="1"/>
        <v>540540</v>
      </c>
      <c r="I55" s="39"/>
      <c r="J55" s="39"/>
      <c r="K55" s="60">
        <f t="shared" si="2"/>
        <v>0</v>
      </c>
      <c r="L55" s="39"/>
      <c r="M55" s="59">
        <f t="shared" si="3"/>
        <v>0</v>
      </c>
      <c r="N55" s="69">
        <v>200.0</v>
      </c>
      <c r="O55" s="62">
        <f t="shared" si="4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4">
        <v>48.0</v>
      </c>
      <c r="C56" s="56" t="s">
        <v>96</v>
      </c>
      <c r="D56" s="67">
        <v>2702.7</v>
      </c>
      <c r="E56" s="56">
        <v>100.0</v>
      </c>
      <c r="F56" s="59">
        <f t="shared" si="6"/>
        <v>270270</v>
      </c>
      <c r="G56" s="56">
        <v>100.0</v>
      </c>
      <c r="H56" s="59">
        <f t="shared" si="1"/>
        <v>270270</v>
      </c>
      <c r="I56" s="39"/>
      <c r="J56" s="39"/>
      <c r="K56" s="60">
        <f t="shared" si="2"/>
        <v>0</v>
      </c>
      <c r="L56" s="39"/>
      <c r="M56" s="59">
        <f t="shared" si="3"/>
        <v>0</v>
      </c>
      <c r="N56" s="69">
        <v>100.0</v>
      </c>
      <c r="O56" s="62">
        <f t="shared" si="4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4">
        <v>49.0</v>
      </c>
      <c r="C57" s="56" t="s">
        <v>97</v>
      </c>
      <c r="D57" s="67">
        <v>2702.7</v>
      </c>
      <c r="E57" s="56">
        <v>200.0</v>
      </c>
      <c r="F57" s="59">
        <f t="shared" si="6"/>
        <v>540540</v>
      </c>
      <c r="G57" s="56">
        <v>200.0</v>
      </c>
      <c r="H57" s="59">
        <f t="shared" si="1"/>
        <v>540540</v>
      </c>
      <c r="I57" s="39"/>
      <c r="J57" s="39"/>
      <c r="K57" s="60">
        <f t="shared" si="2"/>
        <v>0</v>
      </c>
      <c r="L57" s="39"/>
      <c r="M57" s="59">
        <f t="shared" si="3"/>
        <v>0</v>
      </c>
      <c r="N57" s="69">
        <v>200.0</v>
      </c>
      <c r="O57" s="62">
        <f t="shared" si="4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4">
        <v>50.0</v>
      </c>
      <c r="C58" s="56" t="s">
        <v>98</v>
      </c>
      <c r="D58" s="67">
        <v>2252.25</v>
      </c>
      <c r="E58" s="56">
        <v>100.0</v>
      </c>
      <c r="F58" s="59">
        <f t="shared" si="6"/>
        <v>225225</v>
      </c>
      <c r="G58" s="56">
        <v>100.0</v>
      </c>
      <c r="H58" s="59">
        <f t="shared" si="1"/>
        <v>225225</v>
      </c>
      <c r="I58" s="39"/>
      <c r="J58" s="39"/>
      <c r="K58" s="60">
        <f t="shared" si="2"/>
        <v>0</v>
      </c>
      <c r="L58" s="39"/>
      <c r="M58" s="59">
        <f t="shared" si="3"/>
        <v>0</v>
      </c>
      <c r="N58" s="69">
        <v>100.0</v>
      </c>
      <c r="O58" s="62">
        <f t="shared" si="4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4">
        <v>51.0</v>
      </c>
      <c r="C59" s="56" t="s">
        <v>99</v>
      </c>
      <c r="D59" s="67">
        <v>2702.7</v>
      </c>
      <c r="E59" s="56">
        <v>500.0</v>
      </c>
      <c r="F59" s="59">
        <f t="shared" si="6"/>
        <v>1351350</v>
      </c>
      <c r="G59" s="56">
        <v>500.0</v>
      </c>
      <c r="H59" s="59">
        <f t="shared" si="1"/>
        <v>1351350</v>
      </c>
      <c r="I59" s="39"/>
      <c r="J59" s="39"/>
      <c r="K59" s="60">
        <f t="shared" si="2"/>
        <v>0</v>
      </c>
      <c r="L59" s="39"/>
      <c r="M59" s="59">
        <f t="shared" si="3"/>
        <v>0</v>
      </c>
      <c r="N59" s="69">
        <v>500.0</v>
      </c>
      <c r="O59" s="62">
        <f t="shared" si="4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4">
        <v>52.0</v>
      </c>
      <c r="C60" s="56" t="s">
        <v>100</v>
      </c>
      <c r="D60" s="67">
        <v>2702.7</v>
      </c>
      <c r="E60" s="56">
        <v>400.0</v>
      </c>
      <c r="F60" s="59">
        <f t="shared" si="6"/>
        <v>1081080</v>
      </c>
      <c r="G60" s="56">
        <v>400.0</v>
      </c>
      <c r="H60" s="59">
        <f t="shared" si="1"/>
        <v>1081080</v>
      </c>
      <c r="I60" s="39"/>
      <c r="J60" s="39"/>
      <c r="K60" s="60">
        <f t="shared" si="2"/>
        <v>0</v>
      </c>
      <c r="L60" s="39"/>
      <c r="M60" s="59">
        <f t="shared" si="3"/>
        <v>0</v>
      </c>
      <c r="N60" s="69">
        <v>400.0</v>
      </c>
      <c r="O60" s="62">
        <f t="shared" si="4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4">
        <v>53.0</v>
      </c>
      <c r="C61" s="56" t="s">
        <v>101</v>
      </c>
      <c r="D61" s="67">
        <v>2702.7</v>
      </c>
      <c r="E61" s="56">
        <v>487.0</v>
      </c>
      <c r="F61" s="59">
        <f t="shared" si="6"/>
        <v>1316214.9</v>
      </c>
      <c r="G61" s="56">
        <v>487.0</v>
      </c>
      <c r="H61" s="59">
        <f t="shared" si="1"/>
        <v>1316214.9</v>
      </c>
      <c r="I61" s="39"/>
      <c r="J61" s="39"/>
      <c r="K61" s="60">
        <f t="shared" si="2"/>
        <v>0</v>
      </c>
      <c r="L61" s="39"/>
      <c r="M61" s="59">
        <f t="shared" si="3"/>
        <v>0</v>
      </c>
      <c r="N61" s="69">
        <v>487.0</v>
      </c>
      <c r="O61" s="62">
        <f t="shared" si="4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4">
        <v>54.0</v>
      </c>
      <c r="C62" s="56" t="s">
        <v>102</v>
      </c>
      <c r="D62" s="67">
        <v>2702.7</v>
      </c>
      <c r="E62" s="56">
        <v>90.0</v>
      </c>
      <c r="F62" s="59">
        <f t="shared" si="6"/>
        <v>243243</v>
      </c>
      <c r="G62" s="56">
        <v>90.0</v>
      </c>
      <c r="H62" s="59">
        <f t="shared" si="1"/>
        <v>243243</v>
      </c>
      <c r="I62" s="39"/>
      <c r="J62" s="39"/>
      <c r="K62" s="60">
        <f t="shared" si="2"/>
        <v>0</v>
      </c>
      <c r="L62" s="39"/>
      <c r="M62" s="59">
        <f t="shared" si="3"/>
        <v>0</v>
      </c>
      <c r="N62" s="69">
        <v>90.0</v>
      </c>
      <c r="O62" s="62">
        <f t="shared" si="4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4">
        <v>55.0</v>
      </c>
      <c r="C63" s="56" t="s">
        <v>103</v>
      </c>
      <c r="D63" s="67">
        <v>2702.7</v>
      </c>
      <c r="E63" s="56">
        <v>90.0</v>
      </c>
      <c r="F63" s="59">
        <f t="shared" si="6"/>
        <v>243243</v>
      </c>
      <c r="G63" s="56">
        <v>90.0</v>
      </c>
      <c r="H63" s="59">
        <f t="shared" si="1"/>
        <v>243243</v>
      </c>
      <c r="I63" s="39"/>
      <c r="J63" s="39"/>
      <c r="K63" s="60">
        <f t="shared" si="2"/>
        <v>0</v>
      </c>
      <c r="L63" s="39"/>
      <c r="M63" s="59">
        <f t="shared" si="3"/>
        <v>0</v>
      </c>
      <c r="N63" s="69">
        <v>90.0</v>
      </c>
      <c r="O63" s="62">
        <f t="shared" si="4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4">
        <v>56.0</v>
      </c>
      <c r="C64" s="56" t="s">
        <v>104</v>
      </c>
      <c r="D64" s="67">
        <v>2702.7</v>
      </c>
      <c r="E64" s="56">
        <v>45.0</v>
      </c>
      <c r="F64" s="59">
        <f t="shared" si="6"/>
        <v>121621.5</v>
      </c>
      <c r="G64" s="56">
        <v>45.0</v>
      </c>
      <c r="H64" s="59">
        <f t="shared" si="1"/>
        <v>121621.5</v>
      </c>
      <c r="I64" s="39"/>
      <c r="J64" s="39"/>
      <c r="K64" s="60">
        <f t="shared" si="2"/>
        <v>0</v>
      </c>
      <c r="L64" s="39"/>
      <c r="M64" s="59">
        <f t="shared" si="3"/>
        <v>0</v>
      </c>
      <c r="N64" s="69">
        <v>45.0</v>
      </c>
      <c r="O64" s="62">
        <f t="shared" si="4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4">
        <v>57.0</v>
      </c>
      <c r="C65" s="56" t="s">
        <v>105</v>
      </c>
      <c r="D65" s="67">
        <v>2252.25</v>
      </c>
      <c r="E65" s="56">
        <v>100.0</v>
      </c>
      <c r="F65" s="59">
        <f t="shared" si="6"/>
        <v>225225</v>
      </c>
      <c r="G65" s="56">
        <v>100.0</v>
      </c>
      <c r="H65" s="59">
        <f t="shared" si="1"/>
        <v>225225</v>
      </c>
      <c r="I65" s="39"/>
      <c r="J65" s="39"/>
      <c r="K65" s="60">
        <f t="shared" si="2"/>
        <v>0</v>
      </c>
      <c r="L65" s="39"/>
      <c r="M65" s="59">
        <f t="shared" si="3"/>
        <v>0</v>
      </c>
      <c r="N65" s="69">
        <v>100.0</v>
      </c>
      <c r="O65" s="62">
        <f t="shared" si="4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4">
        <v>58.0</v>
      </c>
      <c r="C66" s="56" t="s">
        <v>106</v>
      </c>
      <c r="D66" s="67">
        <v>2252.25</v>
      </c>
      <c r="E66" s="56">
        <v>100.0</v>
      </c>
      <c r="F66" s="59">
        <f t="shared" si="6"/>
        <v>225225</v>
      </c>
      <c r="G66" s="56">
        <v>100.0</v>
      </c>
      <c r="H66" s="59">
        <f t="shared" si="1"/>
        <v>225225</v>
      </c>
      <c r="I66" s="39"/>
      <c r="J66" s="39"/>
      <c r="K66" s="60">
        <f t="shared" si="2"/>
        <v>0</v>
      </c>
      <c r="L66" s="39"/>
      <c r="M66" s="59">
        <f t="shared" si="3"/>
        <v>0</v>
      </c>
      <c r="N66" s="69">
        <v>100.0</v>
      </c>
      <c r="O66" s="62">
        <f t="shared" si="4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4">
        <v>59.0</v>
      </c>
      <c r="C67" s="56" t="s">
        <v>107</v>
      </c>
      <c r="D67" s="67">
        <v>5405.41</v>
      </c>
      <c r="E67" s="56">
        <v>8265.0</v>
      </c>
      <c r="F67" s="59">
        <f t="shared" si="6"/>
        <v>44675713.65</v>
      </c>
      <c r="G67" s="56">
        <v>8265.0</v>
      </c>
      <c r="H67" s="59">
        <f t="shared" si="1"/>
        <v>44675713.65</v>
      </c>
      <c r="I67" s="39"/>
      <c r="J67" s="39"/>
      <c r="K67" s="60">
        <f t="shared" si="2"/>
        <v>0</v>
      </c>
      <c r="L67" s="39"/>
      <c r="M67" s="59">
        <f t="shared" si="3"/>
        <v>0</v>
      </c>
      <c r="N67" s="69">
        <v>826.5</v>
      </c>
      <c r="O67" s="62">
        <f t="shared" si="4"/>
        <v>-7438.5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4">
        <v>60.0</v>
      </c>
      <c r="C68" s="56" t="s">
        <v>108</v>
      </c>
      <c r="D68" s="67">
        <v>2702.7</v>
      </c>
      <c r="E68" s="56">
        <v>258.0</v>
      </c>
      <c r="F68" s="59">
        <f t="shared" si="6"/>
        <v>697296.6</v>
      </c>
      <c r="G68" s="56">
        <v>258.0</v>
      </c>
      <c r="H68" s="59">
        <f t="shared" si="1"/>
        <v>697296.6</v>
      </c>
      <c r="I68" s="39"/>
      <c r="J68" s="39"/>
      <c r="K68" s="60">
        <f t="shared" si="2"/>
        <v>0</v>
      </c>
      <c r="L68" s="39"/>
      <c r="M68" s="59">
        <f t="shared" si="3"/>
        <v>0</v>
      </c>
      <c r="N68" s="69">
        <v>258.0</v>
      </c>
      <c r="O68" s="62">
        <f t="shared" si="4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4">
        <v>61.0</v>
      </c>
      <c r="C69" s="56" t="s">
        <v>109</v>
      </c>
      <c r="D69" s="67">
        <v>2702.7</v>
      </c>
      <c r="E69" s="56">
        <v>213.0</v>
      </c>
      <c r="F69" s="59">
        <f t="shared" si="6"/>
        <v>575675.1</v>
      </c>
      <c r="G69" s="56">
        <v>213.0</v>
      </c>
      <c r="H69" s="59">
        <f t="shared" si="1"/>
        <v>575675.1</v>
      </c>
      <c r="I69" s="39"/>
      <c r="J69" s="39"/>
      <c r="K69" s="60">
        <f t="shared" si="2"/>
        <v>0</v>
      </c>
      <c r="L69" s="39"/>
      <c r="M69" s="59">
        <f t="shared" si="3"/>
        <v>0</v>
      </c>
      <c r="N69" s="69">
        <v>21.3</v>
      </c>
      <c r="O69" s="62">
        <f t="shared" si="4"/>
        <v>-191.7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4">
        <v>62.0</v>
      </c>
      <c r="C70" s="56" t="s">
        <v>110</v>
      </c>
      <c r="D70" s="67">
        <v>2702.7</v>
      </c>
      <c r="E70" s="56">
        <v>600.0</v>
      </c>
      <c r="F70" s="59">
        <f t="shared" si="6"/>
        <v>1621620</v>
      </c>
      <c r="G70" s="56">
        <v>600.0</v>
      </c>
      <c r="H70" s="59">
        <f t="shared" si="1"/>
        <v>1621620</v>
      </c>
      <c r="I70" s="39"/>
      <c r="J70" s="39"/>
      <c r="K70" s="60">
        <f t="shared" si="2"/>
        <v>0</v>
      </c>
      <c r="L70" s="39"/>
      <c r="M70" s="59">
        <f t="shared" si="3"/>
        <v>0</v>
      </c>
      <c r="N70" s="69">
        <v>600.0</v>
      </c>
      <c r="O70" s="62">
        <f t="shared" si="4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4">
        <v>63.0</v>
      </c>
      <c r="C71" s="56" t="s">
        <v>111</v>
      </c>
      <c r="D71" s="67">
        <v>5405.41</v>
      </c>
      <c r="E71" s="56">
        <v>42.0</v>
      </c>
      <c r="F71" s="59">
        <f t="shared" si="6"/>
        <v>227027.22</v>
      </c>
      <c r="G71" s="56">
        <v>42.0</v>
      </c>
      <c r="H71" s="59">
        <f t="shared" si="1"/>
        <v>227027.22</v>
      </c>
      <c r="I71" s="39"/>
      <c r="J71" s="39"/>
      <c r="K71" s="60">
        <f t="shared" si="2"/>
        <v>0</v>
      </c>
      <c r="L71" s="39"/>
      <c r="M71" s="59">
        <f t="shared" si="3"/>
        <v>0</v>
      </c>
      <c r="N71" s="69">
        <v>42.0</v>
      </c>
      <c r="O71" s="62">
        <f t="shared" si="4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4">
        <v>64.0</v>
      </c>
      <c r="C72" s="56" t="s">
        <v>112</v>
      </c>
      <c r="D72" s="67">
        <v>4504.5</v>
      </c>
      <c r="E72" s="56">
        <v>150.0</v>
      </c>
      <c r="F72" s="59">
        <f t="shared" si="6"/>
        <v>675675</v>
      </c>
      <c r="G72" s="56">
        <v>150.0</v>
      </c>
      <c r="H72" s="59">
        <f t="shared" si="1"/>
        <v>675675</v>
      </c>
      <c r="I72" s="39"/>
      <c r="J72" s="39"/>
      <c r="K72" s="60">
        <f t="shared" si="2"/>
        <v>0</v>
      </c>
      <c r="L72" s="39"/>
      <c r="M72" s="59">
        <f t="shared" si="3"/>
        <v>0</v>
      </c>
      <c r="N72" s="69">
        <v>150.0</v>
      </c>
      <c r="O72" s="62">
        <f t="shared" si="4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4">
        <v>65.0</v>
      </c>
      <c r="C73" s="56" t="s">
        <v>113</v>
      </c>
      <c r="D73" s="67">
        <v>5405.41</v>
      </c>
      <c r="E73" s="56">
        <v>50.0</v>
      </c>
      <c r="F73" s="59">
        <f t="shared" si="6"/>
        <v>270270.5</v>
      </c>
      <c r="G73" s="56">
        <v>50.0</v>
      </c>
      <c r="H73" s="59">
        <f t="shared" si="1"/>
        <v>270270.5</v>
      </c>
      <c r="I73" s="39"/>
      <c r="J73" s="39"/>
      <c r="K73" s="60">
        <f t="shared" si="2"/>
        <v>0</v>
      </c>
      <c r="L73" s="39"/>
      <c r="M73" s="59">
        <f t="shared" si="3"/>
        <v>0</v>
      </c>
      <c r="N73" s="69">
        <v>50.0</v>
      </c>
      <c r="O73" s="62">
        <f t="shared" si="4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4">
        <v>66.0</v>
      </c>
      <c r="C74" s="56" t="s">
        <v>114</v>
      </c>
      <c r="D74" s="67">
        <v>2702.7</v>
      </c>
      <c r="E74" s="56">
        <v>207.0</v>
      </c>
      <c r="F74" s="59">
        <f t="shared" si="6"/>
        <v>559458.9</v>
      </c>
      <c r="G74" s="56">
        <v>207.0</v>
      </c>
      <c r="H74" s="59">
        <f t="shared" si="1"/>
        <v>559458.9</v>
      </c>
      <c r="I74" s="39"/>
      <c r="J74" s="39"/>
      <c r="K74" s="60">
        <f t="shared" si="2"/>
        <v>0</v>
      </c>
      <c r="L74" s="39"/>
      <c r="M74" s="59">
        <f t="shared" si="3"/>
        <v>0</v>
      </c>
      <c r="N74" s="69">
        <v>207.0</v>
      </c>
      <c r="O74" s="62">
        <f t="shared" si="4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4">
        <v>67.0</v>
      </c>
      <c r="C75" s="56" t="s">
        <v>115</v>
      </c>
      <c r="D75" s="67">
        <v>2252.25</v>
      </c>
      <c r="E75" s="56">
        <v>143.0</v>
      </c>
      <c r="F75" s="59">
        <f t="shared" si="6"/>
        <v>322071.75</v>
      </c>
      <c r="G75" s="56">
        <v>143.0</v>
      </c>
      <c r="H75" s="59">
        <f t="shared" si="1"/>
        <v>322071.75</v>
      </c>
      <c r="I75" s="39"/>
      <c r="J75" s="39"/>
      <c r="K75" s="60">
        <f t="shared" si="2"/>
        <v>0</v>
      </c>
      <c r="L75" s="39"/>
      <c r="M75" s="59">
        <f t="shared" si="3"/>
        <v>0</v>
      </c>
      <c r="N75" s="69">
        <v>143.0</v>
      </c>
      <c r="O75" s="62">
        <f t="shared" si="4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4">
        <v>68.0</v>
      </c>
      <c r="C76" s="56" t="s">
        <v>116</v>
      </c>
      <c r="D76" s="67">
        <v>350000.0</v>
      </c>
      <c r="E76" s="56">
        <v>18.0</v>
      </c>
      <c r="F76" s="59">
        <f t="shared" si="6"/>
        <v>6300000</v>
      </c>
      <c r="G76" s="56">
        <v>18.0</v>
      </c>
      <c r="H76" s="59">
        <f t="shared" si="1"/>
        <v>6300000</v>
      </c>
      <c r="I76" s="39"/>
      <c r="J76" s="39"/>
      <c r="K76" s="60">
        <f t="shared" si="2"/>
        <v>0</v>
      </c>
      <c r="L76" s="39"/>
      <c r="M76" s="59">
        <f t="shared" si="3"/>
        <v>0</v>
      </c>
      <c r="N76" s="69">
        <v>18.0</v>
      </c>
      <c r="O76" s="62">
        <f t="shared" si="4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4">
        <v>69.0</v>
      </c>
      <c r="C77" s="56" t="s">
        <v>117</v>
      </c>
      <c r="D77" s="70"/>
      <c r="E77" s="56">
        <v>0.0</v>
      </c>
      <c r="F77" s="59">
        <f t="shared" si="6"/>
        <v>0</v>
      </c>
      <c r="G77" s="56">
        <v>0.0</v>
      </c>
      <c r="H77" s="59">
        <f t="shared" si="1"/>
        <v>0</v>
      </c>
      <c r="I77" s="39"/>
      <c r="J77" s="39"/>
      <c r="K77" s="60">
        <f t="shared" si="2"/>
        <v>0</v>
      </c>
      <c r="L77" s="39"/>
      <c r="M77" s="59">
        <f t="shared" si="3"/>
        <v>0</v>
      </c>
      <c r="N77" s="69">
        <v>0.0</v>
      </c>
      <c r="O77" s="62">
        <f t="shared" si="4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4">
        <v>70.0</v>
      </c>
      <c r="C78" s="56" t="s">
        <v>118</v>
      </c>
      <c r="D78" s="72">
        <v>650992.0</v>
      </c>
      <c r="E78" s="56">
        <v>109.0</v>
      </c>
      <c r="F78" s="59">
        <f t="shared" si="6"/>
        <v>70958128</v>
      </c>
      <c r="G78" s="56">
        <v>109.0</v>
      </c>
      <c r="H78" s="59">
        <f t="shared" si="1"/>
        <v>70958128</v>
      </c>
      <c r="I78" s="39"/>
      <c r="J78" s="39"/>
      <c r="K78" s="60">
        <f t="shared" si="2"/>
        <v>0</v>
      </c>
      <c r="L78" s="39"/>
      <c r="M78" s="59">
        <f t="shared" si="3"/>
        <v>0</v>
      </c>
      <c r="N78" s="69">
        <v>109.0</v>
      </c>
      <c r="O78" s="62">
        <f t="shared" si="4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4">
        <v>71.0</v>
      </c>
      <c r="C79" s="56" t="s">
        <v>119</v>
      </c>
      <c r="D79" s="63">
        <v>555466.0</v>
      </c>
      <c r="E79" s="56">
        <v>11.0</v>
      </c>
      <c r="F79" s="59">
        <f t="shared" si="6"/>
        <v>6110126</v>
      </c>
      <c r="G79" s="56">
        <v>11.0</v>
      </c>
      <c r="H79" s="59">
        <f t="shared" si="1"/>
        <v>6110126</v>
      </c>
      <c r="I79" s="39"/>
      <c r="J79" s="39"/>
      <c r="K79" s="60">
        <f t="shared" si="2"/>
        <v>0</v>
      </c>
      <c r="L79" s="39"/>
      <c r="M79" s="59">
        <f t="shared" si="3"/>
        <v>0</v>
      </c>
      <c r="N79" s="69">
        <v>11.0</v>
      </c>
      <c r="O79" s="62">
        <f t="shared" si="4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4">
        <v>72.0</v>
      </c>
      <c r="C80" s="56" t="s">
        <v>120</v>
      </c>
      <c r="D80" s="67">
        <v>2702.7</v>
      </c>
      <c r="E80" s="56">
        <v>165.0</v>
      </c>
      <c r="F80" s="59">
        <f t="shared" si="6"/>
        <v>445945.5</v>
      </c>
      <c r="G80" s="56">
        <v>165.0</v>
      </c>
      <c r="H80" s="59">
        <f t="shared" si="1"/>
        <v>445945.5</v>
      </c>
      <c r="I80" s="39"/>
      <c r="J80" s="39"/>
      <c r="K80" s="60">
        <f t="shared" si="2"/>
        <v>0</v>
      </c>
      <c r="L80" s="39"/>
      <c r="M80" s="59">
        <f t="shared" si="3"/>
        <v>0</v>
      </c>
      <c r="N80" s="69">
        <v>16.5</v>
      </c>
      <c r="O80" s="62">
        <f t="shared" si="4"/>
        <v>-148.5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4">
        <v>73.0</v>
      </c>
      <c r="C81" s="56" t="s">
        <v>121</v>
      </c>
      <c r="D81" s="67">
        <v>1045000.0</v>
      </c>
      <c r="E81" s="56">
        <v>2.0</v>
      </c>
      <c r="F81" s="59">
        <f t="shared" si="6"/>
        <v>2090000</v>
      </c>
      <c r="G81" s="56">
        <v>2.0</v>
      </c>
      <c r="H81" s="59">
        <f t="shared" si="1"/>
        <v>2090000</v>
      </c>
      <c r="I81" s="39"/>
      <c r="J81" s="39"/>
      <c r="K81" s="60">
        <f t="shared" si="2"/>
        <v>0</v>
      </c>
      <c r="L81" s="39"/>
      <c r="M81" s="59">
        <f t="shared" si="3"/>
        <v>0</v>
      </c>
      <c r="N81" s="69">
        <v>2.0</v>
      </c>
      <c r="O81" s="62">
        <f t="shared" si="4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4">
        <v>74.0</v>
      </c>
      <c r="C82" s="56" t="s">
        <v>122</v>
      </c>
      <c r="D82" s="70"/>
      <c r="E82" s="56">
        <v>0.0</v>
      </c>
      <c r="F82" s="59">
        <f t="shared" si="6"/>
        <v>0</v>
      </c>
      <c r="G82" s="56">
        <v>0.0</v>
      </c>
      <c r="H82" s="59">
        <f t="shared" si="1"/>
        <v>0</v>
      </c>
      <c r="I82" s="39"/>
      <c r="J82" s="39"/>
      <c r="K82" s="60">
        <f t="shared" si="2"/>
        <v>0</v>
      </c>
      <c r="L82" s="39"/>
      <c r="M82" s="59">
        <f t="shared" si="3"/>
        <v>0</v>
      </c>
      <c r="N82" s="69">
        <v>0.0</v>
      </c>
      <c r="O82" s="62">
        <f t="shared" si="4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4">
        <v>75.0</v>
      </c>
      <c r="C83" s="56" t="s">
        <v>123</v>
      </c>
      <c r="D83" s="63">
        <f t="shared" ref="D83:D85" si="8">148500/1.11</f>
        <v>133783.7838</v>
      </c>
      <c r="E83" s="56">
        <v>13.0</v>
      </c>
      <c r="F83" s="59">
        <f t="shared" si="6"/>
        <v>1739189.189</v>
      </c>
      <c r="G83" s="56">
        <v>13.0</v>
      </c>
      <c r="H83" s="59">
        <f t="shared" si="1"/>
        <v>1739189.189</v>
      </c>
      <c r="I83" s="39"/>
      <c r="J83" s="39"/>
      <c r="K83" s="60">
        <f t="shared" si="2"/>
        <v>0</v>
      </c>
      <c r="L83" s="39"/>
      <c r="M83" s="59">
        <f t="shared" si="3"/>
        <v>0</v>
      </c>
      <c r="N83" s="69">
        <v>13.0</v>
      </c>
      <c r="O83" s="62">
        <f t="shared" si="4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4">
        <v>76.0</v>
      </c>
      <c r="C84" s="56" t="s">
        <v>124</v>
      </c>
      <c r="D84" s="63">
        <f t="shared" si="8"/>
        <v>133783.7838</v>
      </c>
      <c r="E84" s="56">
        <v>1.0</v>
      </c>
      <c r="F84" s="59">
        <f t="shared" si="6"/>
        <v>133783.7838</v>
      </c>
      <c r="G84" s="56">
        <v>1.0</v>
      </c>
      <c r="H84" s="59">
        <f t="shared" si="1"/>
        <v>133783.7838</v>
      </c>
      <c r="I84" s="39"/>
      <c r="J84" s="39"/>
      <c r="K84" s="60">
        <f t="shared" si="2"/>
        <v>0</v>
      </c>
      <c r="L84" s="39"/>
      <c r="M84" s="59">
        <f t="shared" si="3"/>
        <v>0</v>
      </c>
      <c r="N84" s="69">
        <v>1.0</v>
      </c>
      <c r="O84" s="62">
        <f t="shared" si="4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4">
        <v>77.0</v>
      </c>
      <c r="C85" s="56" t="s">
        <v>125</v>
      </c>
      <c r="D85" s="63">
        <f t="shared" si="8"/>
        <v>133783.7838</v>
      </c>
      <c r="E85" s="56">
        <v>33.0</v>
      </c>
      <c r="F85" s="59">
        <f t="shared" si="6"/>
        <v>4414864.865</v>
      </c>
      <c r="G85" s="56">
        <v>33.0</v>
      </c>
      <c r="H85" s="59">
        <f t="shared" si="1"/>
        <v>4414864.865</v>
      </c>
      <c r="I85" s="39"/>
      <c r="J85" s="39"/>
      <c r="K85" s="60">
        <f t="shared" si="2"/>
        <v>0</v>
      </c>
      <c r="L85" s="39"/>
      <c r="M85" s="59">
        <f t="shared" si="3"/>
        <v>0</v>
      </c>
      <c r="N85" s="69">
        <v>3.3</v>
      </c>
      <c r="O85" s="62">
        <f t="shared" si="4"/>
        <v>-29.7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4">
        <v>78.0</v>
      </c>
      <c r="C86" s="56" t="s">
        <v>126</v>
      </c>
      <c r="D86" s="67">
        <v>2702.7</v>
      </c>
      <c r="E86" s="56">
        <v>2793.0</v>
      </c>
      <c r="F86" s="59">
        <f t="shared" si="6"/>
        <v>7548641.1</v>
      </c>
      <c r="G86" s="56">
        <v>2793.0</v>
      </c>
      <c r="H86" s="59">
        <f t="shared" si="1"/>
        <v>7548641.1</v>
      </c>
      <c r="I86" s="39"/>
      <c r="J86" s="39"/>
      <c r="K86" s="60">
        <f t="shared" si="2"/>
        <v>0</v>
      </c>
      <c r="L86" s="39"/>
      <c r="M86" s="59">
        <f t="shared" si="3"/>
        <v>0</v>
      </c>
      <c r="N86" s="69">
        <v>279.3</v>
      </c>
      <c r="O86" s="62">
        <f t="shared" si="4"/>
        <v>-2513.7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4">
        <v>79.0</v>
      </c>
      <c r="C87" s="56" t="s">
        <v>127</v>
      </c>
      <c r="D87" s="67">
        <v>2702.7</v>
      </c>
      <c r="E87" s="56">
        <v>100.0</v>
      </c>
      <c r="F87" s="59">
        <f t="shared" si="6"/>
        <v>270270</v>
      </c>
      <c r="G87" s="56">
        <v>100.0</v>
      </c>
      <c r="H87" s="59">
        <f t="shared" si="1"/>
        <v>270270</v>
      </c>
      <c r="I87" s="39"/>
      <c r="J87" s="39"/>
      <c r="K87" s="60">
        <f t="shared" si="2"/>
        <v>0</v>
      </c>
      <c r="L87" s="39"/>
      <c r="M87" s="59">
        <f t="shared" si="3"/>
        <v>0</v>
      </c>
      <c r="N87" s="69">
        <v>100.0</v>
      </c>
      <c r="O87" s="62">
        <f t="shared" si="4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4">
        <v>80.0</v>
      </c>
      <c r="C88" s="56" t="s">
        <v>128</v>
      </c>
      <c r="D88" s="63">
        <f>188595/1.11</f>
        <v>169905.4054</v>
      </c>
      <c r="E88" s="56">
        <v>9.0</v>
      </c>
      <c r="F88" s="59">
        <f t="shared" si="6"/>
        <v>1529148.649</v>
      </c>
      <c r="G88" s="56">
        <v>9.0</v>
      </c>
      <c r="H88" s="59">
        <f t="shared" si="1"/>
        <v>1529148.649</v>
      </c>
      <c r="I88" s="39"/>
      <c r="J88" s="39"/>
      <c r="K88" s="60">
        <f t="shared" si="2"/>
        <v>0</v>
      </c>
      <c r="L88" s="39"/>
      <c r="M88" s="59">
        <f t="shared" si="3"/>
        <v>0</v>
      </c>
      <c r="N88" s="69">
        <v>9.0</v>
      </c>
      <c r="O88" s="62">
        <f t="shared" si="4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4">
        <v>81.0</v>
      </c>
      <c r="C89" s="56" t="s">
        <v>129</v>
      </c>
      <c r="D89" s="72">
        <f>148500/1.11</f>
        <v>133783.7838</v>
      </c>
      <c r="E89" s="56">
        <v>5.0</v>
      </c>
      <c r="F89" s="59">
        <f t="shared" si="6"/>
        <v>668918.9189</v>
      </c>
      <c r="G89" s="56">
        <v>5.0</v>
      </c>
      <c r="H89" s="59">
        <f t="shared" si="1"/>
        <v>668918.9189</v>
      </c>
      <c r="I89" s="39"/>
      <c r="J89" s="39"/>
      <c r="K89" s="60">
        <f t="shared" si="2"/>
        <v>0</v>
      </c>
      <c r="L89" s="39"/>
      <c r="M89" s="59">
        <f t="shared" si="3"/>
        <v>0</v>
      </c>
      <c r="N89" s="69">
        <v>5.0</v>
      </c>
      <c r="O89" s="62">
        <f t="shared" si="4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4">
        <v>82.0</v>
      </c>
      <c r="C90" s="56" t="s">
        <v>130</v>
      </c>
      <c r="D90" s="67">
        <v>2702.7</v>
      </c>
      <c r="E90" s="56">
        <v>175.0</v>
      </c>
      <c r="F90" s="59">
        <f t="shared" si="6"/>
        <v>472972.5</v>
      </c>
      <c r="G90" s="56">
        <v>175.0</v>
      </c>
      <c r="H90" s="59">
        <f t="shared" si="1"/>
        <v>472972.5</v>
      </c>
      <c r="I90" s="39"/>
      <c r="J90" s="39"/>
      <c r="K90" s="60">
        <f t="shared" si="2"/>
        <v>0</v>
      </c>
      <c r="L90" s="39"/>
      <c r="M90" s="59">
        <f t="shared" si="3"/>
        <v>0</v>
      </c>
      <c r="N90" s="69">
        <v>175.0</v>
      </c>
      <c r="O90" s="62">
        <f t="shared" si="4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4">
        <v>83.0</v>
      </c>
      <c r="C91" s="56" t="s">
        <v>131</v>
      </c>
      <c r="D91" s="63">
        <f>153037.5/1.11</f>
        <v>137871.6216</v>
      </c>
      <c r="E91" s="56">
        <v>44.0</v>
      </c>
      <c r="F91" s="59">
        <f t="shared" si="6"/>
        <v>6066351.351</v>
      </c>
      <c r="G91" s="56">
        <v>44.0</v>
      </c>
      <c r="H91" s="59">
        <f t="shared" si="1"/>
        <v>6066351.351</v>
      </c>
      <c r="I91" s="39"/>
      <c r="J91" s="39"/>
      <c r="K91" s="60">
        <f t="shared" si="2"/>
        <v>0</v>
      </c>
      <c r="L91" s="39"/>
      <c r="M91" s="59">
        <f t="shared" si="3"/>
        <v>0</v>
      </c>
      <c r="N91" s="69">
        <v>44.0</v>
      </c>
      <c r="O91" s="62">
        <f t="shared" si="4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4">
        <v>84.0</v>
      </c>
      <c r="C92" s="56" t="s">
        <v>132</v>
      </c>
      <c r="D92" s="67">
        <v>7500000.0</v>
      </c>
      <c r="E92" s="56">
        <v>8.19</v>
      </c>
      <c r="F92" s="59">
        <f t="shared" si="6"/>
        <v>61425000</v>
      </c>
      <c r="G92" s="56">
        <v>8.19</v>
      </c>
      <c r="H92" s="59">
        <f t="shared" si="1"/>
        <v>61425000</v>
      </c>
      <c r="I92" s="39"/>
      <c r="J92" s="39"/>
      <c r="K92" s="60">
        <f t="shared" si="2"/>
        <v>0</v>
      </c>
      <c r="L92" s="39"/>
      <c r="M92" s="59">
        <f t="shared" si="3"/>
        <v>0</v>
      </c>
      <c r="N92" s="71"/>
      <c r="O92" s="62">
        <f t="shared" si="4"/>
        <v>-8.19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4">
        <v>85.0</v>
      </c>
      <c r="C93" s="56" t="s">
        <v>133</v>
      </c>
      <c r="D93" s="67">
        <v>1045000.0</v>
      </c>
      <c r="E93" s="56">
        <v>10.0</v>
      </c>
      <c r="F93" s="59">
        <f t="shared" si="6"/>
        <v>10450000</v>
      </c>
      <c r="G93" s="56">
        <v>10.0</v>
      </c>
      <c r="H93" s="59">
        <f t="shared" si="1"/>
        <v>10450000</v>
      </c>
      <c r="I93" s="39"/>
      <c r="J93" s="39"/>
      <c r="K93" s="60">
        <f t="shared" si="2"/>
        <v>0</v>
      </c>
      <c r="L93" s="39"/>
      <c r="M93" s="59">
        <f t="shared" si="3"/>
        <v>0</v>
      </c>
      <c r="N93" s="69">
        <v>0.09999999999999998</v>
      </c>
      <c r="O93" s="62">
        <f t="shared" si="4"/>
        <v>-9.9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4">
        <v>86.0</v>
      </c>
      <c r="C94" s="56" t="s">
        <v>134</v>
      </c>
      <c r="D94" s="67">
        <v>2252.25</v>
      </c>
      <c r="E94" s="56">
        <v>50.0</v>
      </c>
      <c r="F94" s="59">
        <f t="shared" si="6"/>
        <v>112612.5</v>
      </c>
      <c r="G94" s="56">
        <v>50.0</v>
      </c>
      <c r="H94" s="59">
        <f t="shared" si="1"/>
        <v>112612.5</v>
      </c>
      <c r="I94" s="39"/>
      <c r="J94" s="39"/>
      <c r="K94" s="60">
        <f t="shared" si="2"/>
        <v>0</v>
      </c>
      <c r="L94" s="39"/>
      <c r="M94" s="59">
        <f t="shared" si="3"/>
        <v>0</v>
      </c>
      <c r="N94" s="69">
        <v>50.0</v>
      </c>
      <c r="O94" s="62">
        <f t="shared" si="4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4">
        <v>87.0</v>
      </c>
      <c r="C95" s="56" t="s">
        <v>135</v>
      </c>
      <c r="D95" s="67">
        <v>4504.5</v>
      </c>
      <c r="E95" s="56">
        <v>50.0</v>
      </c>
      <c r="F95" s="59">
        <f t="shared" si="6"/>
        <v>225225</v>
      </c>
      <c r="G95" s="56">
        <v>50.0</v>
      </c>
      <c r="H95" s="59">
        <f t="shared" si="1"/>
        <v>225225</v>
      </c>
      <c r="I95" s="39"/>
      <c r="J95" s="39"/>
      <c r="K95" s="60">
        <f t="shared" si="2"/>
        <v>0</v>
      </c>
      <c r="L95" s="39"/>
      <c r="M95" s="59">
        <f t="shared" si="3"/>
        <v>0</v>
      </c>
      <c r="N95" s="69">
        <v>50.0</v>
      </c>
      <c r="O95" s="62">
        <f t="shared" si="4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4">
        <v>88.0</v>
      </c>
      <c r="C96" s="56" t="s">
        <v>136</v>
      </c>
      <c r="D96" s="67">
        <v>2252.25</v>
      </c>
      <c r="E96" s="56">
        <v>1685.0</v>
      </c>
      <c r="F96" s="59">
        <f t="shared" si="6"/>
        <v>3795041.25</v>
      </c>
      <c r="G96" s="56">
        <v>1685.0</v>
      </c>
      <c r="H96" s="59">
        <f t="shared" si="1"/>
        <v>3795041.25</v>
      </c>
      <c r="I96" s="39"/>
      <c r="J96" s="39"/>
      <c r="K96" s="60">
        <f t="shared" si="2"/>
        <v>0</v>
      </c>
      <c r="L96" s="39"/>
      <c r="M96" s="59">
        <f t="shared" si="3"/>
        <v>0</v>
      </c>
      <c r="N96" s="69">
        <v>16.85</v>
      </c>
      <c r="O96" s="62">
        <f t="shared" si="4"/>
        <v>-1668.15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4">
        <v>89.0</v>
      </c>
      <c r="C97" s="56" t="s">
        <v>137</v>
      </c>
      <c r="D97" s="67">
        <v>2252.25</v>
      </c>
      <c r="E97" s="56">
        <v>2090.0</v>
      </c>
      <c r="F97" s="59">
        <f t="shared" si="6"/>
        <v>4707202.5</v>
      </c>
      <c r="G97" s="56">
        <v>2090.0</v>
      </c>
      <c r="H97" s="59">
        <f t="shared" si="1"/>
        <v>4707202.5</v>
      </c>
      <c r="I97" s="39"/>
      <c r="J97" s="39"/>
      <c r="K97" s="60">
        <f t="shared" si="2"/>
        <v>0</v>
      </c>
      <c r="L97" s="39"/>
      <c r="M97" s="59">
        <f t="shared" si="3"/>
        <v>0</v>
      </c>
      <c r="N97" s="69">
        <v>20.9</v>
      </c>
      <c r="O97" s="62">
        <f t="shared" si="4"/>
        <v>-2069.1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4">
        <v>90.0</v>
      </c>
      <c r="C98" s="56" t="s">
        <v>138</v>
      </c>
      <c r="D98" s="67">
        <f>4800/1.11</f>
        <v>4324.324324</v>
      </c>
      <c r="E98" s="56">
        <v>3265.0</v>
      </c>
      <c r="F98" s="59">
        <f t="shared" si="6"/>
        <v>14118918.92</v>
      </c>
      <c r="G98" s="56">
        <v>3265.0</v>
      </c>
      <c r="H98" s="59">
        <f t="shared" si="1"/>
        <v>14118918.92</v>
      </c>
      <c r="I98" s="39"/>
      <c r="J98" s="39"/>
      <c r="K98" s="60">
        <f t="shared" si="2"/>
        <v>0</v>
      </c>
      <c r="L98" s="39"/>
      <c r="M98" s="59">
        <f t="shared" si="3"/>
        <v>0</v>
      </c>
      <c r="N98" s="69">
        <v>3265.0</v>
      </c>
      <c r="O98" s="62">
        <f t="shared" si="4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4">
        <v>91.0</v>
      </c>
      <c r="C99" s="56" t="s">
        <v>139</v>
      </c>
      <c r="D99" s="67">
        <v>2702.7</v>
      </c>
      <c r="E99" s="56">
        <v>100.0</v>
      </c>
      <c r="F99" s="59">
        <f t="shared" si="6"/>
        <v>270270</v>
      </c>
      <c r="G99" s="56">
        <v>100.0</v>
      </c>
      <c r="H99" s="59">
        <f t="shared" si="1"/>
        <v>270270</v>
      </c>
      <c r="I99" s="39"/>
      <c r="J99" s="39"/>
      <c r="K99" s="60">
        <f t="shared" si="2"/>
        <v>0</v>
      </c>
      <c r="L99" s="39"/>
      <c r="M99" s="59">
        <f t="shared" si="3"/>
        <v>0</v>
      </c>
      <c r="N99" s="69">
        <v>100.0</v>
      </c>
      <c r="O99" s="62">
        <f t="shared" si="4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4">
        <v>92.0</v>
      </c>
      <c r="C100" s="56" t="s">
        <v>140</v>
      </c>
      <c r="D100" s="70">
        <f>10000/1.11</f>
        <v>9009.009009</v>
      </c>
      <c r="E100" s="56">
        <v>630.0</v>
      </c>
      <c r="F100" s="59">
        <f t="shared" si="6"/>
        <v>5675675.676</v>
      </c>
      <c r="G100" s="56">
        <v>630.0</v>
      </c>
      <c r="H100" s="59">
        <f t="shared" si="1"/>
        <v>5675675.676</v>
      </c>
      <c r="I100" s="39"/>
      <c r="J100" s="39"/>
      <c r="K100" s="60">
        <f t="shared" si="2"/>
        <v>0</v>
      </c>
      <c r="L100" s="39"/>
      <c r="M100" s="59">
        <f t="shared" si="3"/>
        <v>0</v>
      </c>
      <c r="N100" s="69">
        <v>630.0</v>
      </c>
      <c r="O100" s="62">
        <f t="shared" si="4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4">
        <v>93.0</v>
      </c>
      <c r="C101" s="56" t="s">
        <v>141</v>
      </c>
      <c r="D101" s="67">
        <v>568320.0</v>
      </c>
      <c r="E101" s="56">
        <v>4.0</v>
      </c>
      <c r="F101" s="59">
        <f t="shared" si="6"/>
        <v>2273280</v>
      </c>
      <c r="G101" s="56">
        <v>4.0</v>
      </c>
      <c r="H101" s="59">
        <f t="shared" si="1"/>
        <v>2273280</v>
      </c>
      <c r="I101" s="39"/>
      <c r="J101" s="39"/>
      <c r="K101" s="60">
        <f t="shared" si="2"/>
        <v>0</v>
      </c>
      <c r="L101" s="39"/>
      <c r="M101" s="59">
        <f t="shared" si="3"/>
        <v>0</v>
      </c>
      <c r="N101" s="69">
        <v>4.0</v>
      </c>
      <c r="O101" s="62">
        <f t="shared" si="4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4">
        <v>94.0</v>
      </c>
      <c r="C102" s="56" t="s">
        <v>142</v>
      </c>
      <c r="D102" s="70">
        <f>350000/1.11</f>
        <v>315315.3153</v>
      </c>
      <c r="E102" s="56">
        <v>0.0</v>
      </c>
      <c r="F102" s="59">
        <f t="shared" si="6"/>
        <v>0</v>
      </c>
      <c r="G102" s="56">
        <v>0.0</v>
      </c>
      <c r="H102" s="59">
        <f t="shared" si="1"/>
        <v>0</v>
      </c>
      <c r="I102" s="39"/>
      <c r="J102" s="39"/>
      <c r="K102" s="60">
        <f t="shared" si="2"/>
        <v>0</v>
      </c>
      <c r="L102" s="39"/>
      <c r="M102" s="59">
        <f t="shared" si="3"/>
        <v>0</v>
      </c>
      <c r="N102" s="69">
        <v>0.0</v>
      </c>
      <c r="O102" s="62">
        <f t="shared" si="4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4">
        <v>95.0</v>
      </c>
      <c r="C103" s="56" t="s">
        <v>143</v>
      </c>
      <c r="D103" s="72">
        <v>358800.0</v>
      </c>
      <c r="E103" s="56">
        <v>4.0</v>
      </c>
      <c r="F103" s="59">
        <f t="shared" si="6"/>
        <v>1435200</v>
      </c>
      <c r="G103" s="56">
        <v>4.0</v>
      </c>
      <c r="H103" s="59">
        <f t="shared" si="1"/>
        <v>1435200</v>
      </c>
      <c r="I103" s="39"/>
      <c r="J103" s="39"/>
      <c r="K103" s="60">
        <f t="shared" si="2"/>
        <v>0</v>
      </c>
      <c r="L103" s="39"/>
      <c r="M103" s="59">
        <f t="shared" si="3"/>
        <v>0</v>
      </c>
      <c r="N103" s="69">
        <v>4.0</v>
      </c>
      <c r="O103" s="62">
        <f t="shared" si="4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4">
        <v>96.0</v>
      </c>
      <c r="C104" s="56" t="s">
        <v>144</v>
      </c>
      <c r="D104" s="67">
        <v>3500.0</v>
      </c>
      <c r="E104" s="56">
        <v>50.0</v>
      </c>
      <c r="F104" s="59">
        <f t="shared" si="6"/>
        <v>175000</v>
      </c>
      <c r="G104" s="56">
        <v>50.0</v>
      </c>
      <c r="H104" s="59">
        <f t="shared" si="1"/>
        <v>175000</v>
      </c>
      <c r="I104" s="39"/>
      <c r="J104" s="39"/>
      <c r="K104" s="60">
        <f t="shared" si="2"/>
        <v>0</v>
      </c>
      <c r="L104" s="39"/>
      <c r="M104" s="59">
        <f t="shared" si="3"/>
        <v>0</v>
      </c>
      <c r="N104" s="61">
        <v>50.0</v>
      </c>
      <c r="O104" s="62">
        <f t="shared" si="4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4">
        <v>97.0</v>
      </c>
      <c r="C105" s="56" t="s">
        <v>145</v>
      </c>
      <c r="D105" s="72">
        <v>5215000.0</v>
      </c>
      <c r="E105" s="56">
        <v>1.0</v>
      </c>
      <c r="F105" s="59">
        <f t="shared" si="6"/>
        <v>5215000</v>
      </c>
      <c r="G105" s="56">
        <v>1.0</v>
      </c>
      <c r="H105" s="59">
        <f t="shared" si="1"/>
        <v>5215000</v>
      </c>
      <c r="I105" s="39"/>
      <c r="J105" s="39"/>
      <c r="K105" s="60">
        <f t="shared" si="2"/>
        <v>0</v>
      </c>
      <c r="L105" s="39"/>
      <c r="M105" s="59">
        <f t="shared" si="3"/>
        <v>0</v>
      </c>
      <c r="N105" s="61">
        <v>1.0</v>
      </c>
      <c r="O105" s="62">
        <f t="shared" si="4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4">
        <v>98.0</v>
      </c>
      <c r="C106" s="56" t="s">
        <v>146</v>
      </c>
      <c r="D106" s="67">
        <v>1029.6</v>
      </c>
      <c r="E106" s="56">
        <v>165.0</v>
      </c>
      <c r="F106" s="59">
        <f t="shared" si="6"/>
        <v>169884</v>
      </c>
      <c r="G106" s="56">
        <v>165.0</v>
      </c>
      <c r="H106" s="59">
        <f t="shared" si="1"/>
        <v>169884</v>
      </c>
      <c r="I106" s="39"/>
      <c r="J106" s="39"/>
      <c r="K106" s="60">
        <f t="shared" si="2"/>
        <v>0</v>
      </c>
      <c r="L106" s="39"/>
      <c r="M106" s="59">
        <f t="shared" si="3"/>
        <v>0</v>
      </c>
      <c r="N106" s="61">
        <v>165.0</v>
      </c>
      <c r="O106" s="62">
        <f t="shared" si="4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4">
        <v>99.0</v>
      </c>
      <c r="C107" s="56" t="s">
        <v>147</v>
      </c>
      <c r="D107" s="67">
        <v>3500.0</v>
      </c>
      <c r="E107" s="56">
        <v>10.0</v>
      </c>
      <c r="F107" s="59">
        <f t="shared" si="6"/>
        <v>35000</v>
      </c>
      <c r="G107" s="56">
        <v>10.0</v>
      </c>
      <c r="H107" s="59">
        <f t="shared" si="1"/>
        <v>35000</v>
      </c>
      <c r="I107" s="39"/>
      <c r="J107" s="39"/>
      <c r="K107" s="60">
        <f t="shared" si="2"/>
        <v>0</v>
      </c>
      <c r="L107" s="39"/>
      <c r="M107" s="59">
        <f t="shared" si="3"/>
        <v>0</v>
      </c>
      <c r="N107" s="61">
        <v>10.0</v>
      </c>
      <c r="O107" s="62">
        <f t="shared" si="4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4">
        <v>100.0</v>
      </c>
      <c r="C108" s="56" t="s">
        <v>148</v>
      </c>
      <c r="D108" s="67">
        <v>542.86</v>
      </c>
      <c r="E108" s="56">
        <v>344.0</v>
      </c>
      <c r="F108" s="59">
        <f t="shared" si="6"/>
        <v>186743.84</v>
      </c>
      <c r="G108" s="56">
        <v>344.0</v>
      </c>
      <c r="H108" s="59">
        <f t="shared" si="1"/>
        <v>186743.84</v>
      </c>
      <c r="I108" s="39"/>
      <c r="J108" s="39"/>
      <c r="K108" s="60">
        <f t="shared" si="2"/>
        <v>0</v>
      </c>
      <c r="L108" s="39"/>
      <c r="M108" s="59">
        <f t="shared" si="3"/>
        <v>0</v>
      </c>
      <c r="N108" s="61">
        <v>344.0</v>
      </c>
      <c r="O108" s="62">
        <f t="shared" si="4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4">
        <v>101.0</v>
      </c>
      <c r="C109" s="56" t="s">
        <v>149</v>
      </c>
      <c r="D109" s="67">
        <v>21621.62</v>
      </c>
      <c r="E109" s="56">
        <v>69.0</v>
      </c>
      <c r="F109" s="59">
        <f t="shared" si="6"/>
        <v>1491891.78</v>
      </c>
      <c r="G109" s="56">
        <v>69.0</v>
      </c>
      <c r="H109" s="59">
        <f t="shared" si="1"/>
        <v>1491891.78</v>
      </c>
      <c r="I109" s="39"/>
      <c r="J109" s="39"/>
      <c r="K109" s="60">
        <f t="shared" si="2"/>
        <v>0</v>
      </c>
      <c r="L109" s="39"/>
      <c r="M109" s="59">
        <f t="shared" si="3"/>
        <v>0</v>
      </c>
      <c r="N109" s="61">
        <v>69.0</v>
      </c>
      <c r="O109" s="62">
        <f t="shared" si="4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4">
        <v>102.0</v>
      </c>
      <c r="C110" s="56" t="s">
        <v>150</v>
      </c>
      <c r="D110" s="67">
        <v>9717.12</v>
      </c>
      <c r="E110" s="56">
        <v>153.0</v>
      </c>
      <c r="F110" s="59">
        <f t="shared" si="6"/>
        <v>1486719.36</v>
      </c>
      <c r="G110" s="56">
        <v>153.0</v>
      </c>
      <c r="H110" s="59">
        <f t="shared" si="1"/>
        <v>1486719.36</v>
      </c>
      <c r="I110" s="39"/>
      <c r="J110" s="39"/>
      <c r="K110" s="60">
        <f t="shared" si="2"/>
        <v>0</v>
      </c>
      <c r="L110" s="39"/>
      <c r="M110" s="59">
        <f t="shared" si="3"/>
        <v>0</v>
      </c>
      <c r="N110" s="61">
        <v>153.0</v>
      </c>
      <c r="O110" s="62">
        <f t="shared" si="4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4">
        <v>103.0</v>
      </c>
      <c r="C111" s="56" t="s">
        <v>151</v>
      </c>
      <c r="D111" s="72">
        <v>3500.0</v>
      </c>
      <c r="E111" s="56">
        <v>35.0</v>
      </c>
      <c r="F111" s="59">
        <f t="shared" si="6"/>
        <v>122500</v>
      </c>
      <c r="G111" s="56">
        <v>35.0</v>
      </c>
      <c r="H111" s="59">
        <f t="shared" si="1"/>
        <v>122500</v>
      </c>
      <c r="I111" s="39"/>
      <c r="J111" s="39"/>
      <c r="K111" s="60">
        <f t="shared" si="2"/>
        <v>0</v>
      </c>
      <c r="L111" s="39"/>
      <c r="M111" s="59">
        <f t="shared" si="3"/>
        <v>0</v>
      </c>
      <c r="N111" s="61">
        <v>35.0</v>
      </c>
      <c r="O111" s="62">
        <f t="shared" si="4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4">
        <v>104.0</v>
      </c>
      <c r="C112" s="56" t="s">
        <v>152</v>
      </c>
      <c r="D112" s="67">
        <v>6500.0</v>
      </c>
      <c r="E112" s="56">
        <v>5.0</v>
      </c>
      <c r="F112" s="59">
        <f t="shared" si="6"/>
        <v>32500</v>
      </c>
      <c r="G112" s="56">
        <v>5.0</v>
      </c>
      <c r="H112" s="59">
        <f t="shared" si="1"/>
        <v>32500</v>
      </c>
      <c r="I112" s="39"/>
      <c r="J112" s="39"/>
      <c r="K112" s="60">
        <f t="shared" si="2"/>
        <v>0</v>
      </c>
      <c r="L112" s="39"/>
      <c r="M112" s="59">
        <f t="shared" si="3"/>
        <v>0</v>
      </c>
      <c r="N112" s="61">
        <v>5.0</v>
      </c>
      <c r="O112" s="62">
        <f t="shared" si="4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4">
        <v>105.0</v>
      </c>
      <c r="C113" s="56" t="s">
        <v>153</v>
      </c>
      <c r="D113" s="63">
        <f>111127/1.11</f>
        <v>100114.4144</v>
      </c>
      <c r="E113" s="56">
        <v>62.0</v>
      </c>
      <c r="F113" s="59">
        <f t="shared" si="6"/>
        <v>6207093.694</v>
      </c>
      <c r="G113" s="56">
        <v>62.0</v>
      </c>
      <c r="H113" s="59">
        <f t="shared" si="1"/>
        <v>6207093.694</v>
      </c>
      <c r="I113" s="39"/>
      <c r="J113" s="39"/>
      <c r="K113" s="60">
        <f t="shared" si="2"/>
        <v>0</v>
      </c>
      <c r="L113" s="39"/>
      <c r="M113" s="59">
        <f t="shared" si="3"/>
        <v>0</v>
      </c>
      <c r="N113" s="61">
        <v>62.0</v>
      </c>
      <c r="O113" s="62">
        <f t="shared" si="4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4">
        <v>106.0</v>
      </c>
      <c r="C114" s="56" t="s">
        <v>154</v>
      </c>
      <c r="D114" s="63">
        <f>114995/1.11</f>
        <v>103599.0991</v>
      </c>
      <c r="E114" s="56">
        <v>3.0</v>
      </c>
      <c r="F114" s="59">
        <f t="shared" si="6"/>
        <v>310797.2973</v>
      </c>
      <c r="G114" s="56">
        <v>3.0</v>
      </c>
      <c r="H114" s="59">
        <f t="shared" si="1"/>
        <v>310797.2973</v>
      </c>
      <c r="I114" s="39"/>
      <c r="J114" s="39"/>
      <c r="K114" s="60">
        <f t="shared" si="2"/>
        <v>0</v>
      </c>
      <c r="L114" s="39"/>
      <c r="M114" s="59">
        <f t="shared" si="3"/>
        <v>0</v>
      </c>
      <c r="N114" s="61">
        <v>3.0</v>
      </c>
      <c r="O114" s="62">
        <f t="shared" si="4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4">
        <v>107.0</v>
      </c>
      <c r="C115" s="56" t="s">
        <v>155</v>
      </c>
      <c r="D115" s="63">
        <f>43680/1.11</f>
        <v>39351.35135</v>
      </c>
      <c r="E115" s="56">
        <v>74.0</v>
      </c>
      <c r="F115" s="59">
        <f t="shared" si="6"/>
        <v>2912000</v>
      </c>
      <c r="G115" s="56">
        <v>74.0</v>
      </c>
      <c r="H115" s="59">
        <f t="shared" si="1"/>
        <v>2912000</v>
      </c>
      <c r="I115" s="39"/>
      <c r="J115" s="39"/>
      <c r="K115" s="60">
        <f t="shared" si="2"/>
        <v>0</v>
      </c>
      <c r="L115" s="39"/>
      <c r="M115" s="59">
        <f t="shared" si="3"/>
        <v>0</v>
      </c>
      <c r="N115" s="61">
        <v>74.0</v>
      </c>
      <c r="O115" s="62">
        <f t="shared" si="4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4">
        <v>108.0</v>
      </c>
      <c r="C116" s="56" t="s">
        <v>156</v>
      </c>
      <c r="D116" s="63">
        <f>31384.44/1.11</f>
        <v>28274.27027</v>
      </c>
      <c r="E116" s="56">
        <v>175.0</v>
      </c>
      <c r="F116" s="59">
        <f t="shared" si="6"/>
        <v>4947997.297</v>
      </c>
      <c r="G116" s="56">
        <v>175.0</v>
      </c>
      <c r="H116" s="59">
        <f t="shared" si="1"/>
        <v>4947997.297</v>
      </c>
      <c r="I116" s="39"/>
      <c r="J116" s="39"/>
      <c r="K116" s="60">
        <f t="shared" si="2"/>
        <v>0</v>
      </c>
      <c r="L116" s="39"/>
      <c r="M116" s="59">
        <f t="shared" si="3"/>
        <v>0</v>
      </c>
      <c r="N116" s="61">
        <v>17.5</v>
      </c>
      <c r="O116" s="62">
        <f t="shared" si="4"/>
        <v>-157.5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4">
        <v>109.0</v>
      </c>
      <c r="C117" s="56" t="s">
        <v>157</v>
      </c>
      <c r="D117" s="63">
        <f>64638.67/1.11</f>
        <v>58233.03604</v>
      </c>
      <c r="E117" s="56">
        <v>346.0</v>
      </c>
      <c r="F117" s="59">
        <f t="shared" si="6"/>
        <v>20148630.47</v>
      </c>
      <c r="G117" s="56">
        <v>346.0</v>
      </c>
      <c r="H117" s="59">
        <f t="shared" si="1"/>
        <v>20148630.47</v>
      </c>
      <c r="I117" s="39"/>
      <c r="J117" s="39"/>
      <c r="K117" s="60">
        <f t="shared" si="2"/>
        <v>0</v>
      </c>
      <c r="L117" s="39"/>
      <c r="M117" s="59">
        <f t="shared" si="3"/>
        <v>0</v>
      </c>
      <c r="N117" s="61">
        <v>346.0</v>
      </c>
      <c r="O117" s="62">
        <f t="shared" si="4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4">
        <v>110.0</v>
      </c>
      <c r="C118" s="56" t="s">
        <v>158</v>
      </c>
      <c r="D118" s="63">
        <f>64816.67/1.11</f>
        <v>58393.3964</v>
      </c>
      <c r="E118" s="56">
        <v>39.0</v>
      </c>
      <c r="F118" s="59">
        <f t="shared" si="6"/>
        <v>2277342.459</v>
      </c>
      <c r="G118" s="56">
        <v>39.0</v>
      </c>
      <c r="H118" s="59">
        <f t="shared" si="1"/>
        <v>2277342.459</v>
      </c>
      <c r="I118" s="39"/>
      <c r="J118" s="39"/>
      <c r="K118" s="60">
        <f t="shared" si="2"/>
        <v>0</v>
      </c>
      <c r="L118" s="39"/>
      <c r="M118" s="59">
        <f t="shared" si="3"/>
        <v>0</v>
      </c>
      <c r="N118" s="61">
        <v>39.0</v>
      </c>
      <c r="O118" s="62">
        <f t="shared" si="4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4">
        <v>111.0</v>
      </c>
      <c r="C119" s="56" t="s">
        <v>159</v>
      </c>
      <c r="D119" s="63">
        <f>45973.33/1.11</f>
        <v>41417.41441</v>
      </c>
      <c r="E119" s="56">
        <v>89.0</v>
      </c>
      <c r="F119" s="59">
        <f t="shared" si="6"/>
        <v>3686149.883</v>
      </c>
      <c r="G119" s="56">
        <v>89.0</v>
      </c>
      <c r="H119" s="59">
        <f t="shared" si="1"/>
        <v>3686149.883</v>
      </c>
      <c r="I119" s="39"/>
      <c r="J119" s="39"/>
      <c r="K119" s="60">
        <f t="shared" si="2"/>
        <v>0</v>
      </c>
      <c r="L119" s="39"/>
      <c r="M119" s="59">
        <f t="shared" si="3"/>
        <v>0</v>
      </c>
      <c r="N119" s="61">
        <v>89.0</v>
      </c>
      <c r="O119" s="62">
        <f t="shared" si="4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4">
        <v>112.0</v>
      </c>
      <c r="C120" s="56" t="s">
        <v>160</v>
      </c>
      <c r="D120" s="63">
        <f>709533.33/1.11</f>
        <v>639219.2162</v>
      </c>
      <c r="E120" s="56">
        <v>0.0</v>
      </c>
      <c r="F120" s="59">
        <f t="shared" si="6"/>
        <v>0</v>
      </c>
      <c r="G120" s="56">
        <v>0.0</v>
      </c>
      <c r="H120" s="59">
        <f t="shared" si="1"/>
        <v>0</v>
      </c>
      <c r="I120" s="39"/>
      <c r="J120" s="39"/>
      <c r="K120" s="60">
        <f t="shared" si="2"/>
        <v>0</v>
      </c>
      <c r="L120" s="39"/>
      <c r="M120" s="59">
        <f t="shared" si="3"/>
        <v>0</v>
      </c>
      <c r="N120" s="61">
        <v>0.0</v>
      </c>
      <c r="O120" s="62">
        <f t="shared" si="4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4">
        <v>113.0</v>
      </c>
      <c r="C121" s="56" t="s">
        <v>161</v>
      </c>
      <c r="D121" s="63">
        <f>177712/1.11</f>
        <v>160100.9009</v>
      </c>
      <c r="E121" s="56">
        <v>78.0</v>
      </c>
      <c r="F121" s="59">
        <f t="shared" si="6"/>
        <v>12487870.27</v>
      </c>
      <c r="G121" s="56">
        <v>78.0</v>
      </c>
      <c r="H121" s="59">
        <f t="shared" si="1"/>
        <v>12487870.27</v>
      </c>
      <c r="I121" s="39"/>
      <c r="J121" s="39"/>
      <c r="K121" s="60">
        <f t="shared" si="2"/>
        <v>0</v>
      </c>
      <c r="L121" s="39"/>
      <c r="M121" s="59">
        <f t="shared" si="3"/>
        <v>0</v>
      </c>
      <c r="N121" s="61">
        <v>78.0</v>
      </c>
      <c r="O121" s="62">
        <f t="shared" si="4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4">
        <v>114.0</v>
      </c>
      <c r="C122" s="56" t="s">
        <v>162</v>
      </c>
      <c r="D122" s="63">
        <f>157983.33/1.11</f>
        <v>142327.3243</v>
      </c>
      <c r="E122" s="56">
        <v>76.0</v>
      </c>
      <c r="F122" s="59">
        <f t="shared" si="6"/>
        <v>10816876.65</v>
      </c>
      <c r="G122" s="56">
        <v>76.0</v>
      </c>
      <c r="H122" s="59">
        <f t="shared" si="1"/>
        <v>10816876.65</v>
      </c>
      <c r="I122" s="39"/>
      <c r="J122" s="39"/>
      <c r="K122" s="60">
        <f t="shared" si="2"/>
        <v>0</v>
      </c>
      <c r="L122" s="39"/>
      <c r="M122" s="59">
        <f t="shared" si="3"/>
        <v>0</v>
      </c>
      <c r="N122" s="61">
        <v>76.0</v>
      </c>
      <c r="O122" s="62">
        <f t="shared" si="4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4">
        <v>115.0</v>
      </c>
      <c r="C123" s="56" t="s">
        <v>163</v>
      </c>
      <c r="D123" s="63">
        <f>307361.44/1.11</f>
        <v>276902.1982</v>
      </c>
      <c r="E123" s="56">
        <v>6.0</v>
      </c>
      <c r="F123" s="59">
        <f t="shared" si="6"/>
        <v>1661413.189</v>
      </c>
      <c r="G123" s="56">
        <v>6.0</v>
      </c>
      <c r="H123" s="59">
        <f t="shared" si="1"/>
        <v>1661413.189</v>
      </c>
      <c r="I123" s="39"/>
      <c r="J123" s="39"/>
      <c r="K123" s="60">
        <f t="shared" si="2"/>
        <v>0</v>
      </c>
      <c r="L123" s="39"/>
      <c r="M123" s="59">
        <f t="shared" si="3"/>
        <v>0</v>
      </c>
      <c r="N123" s="61">
        <v>6.0</v>
      </c>
      <c r="O123" s="62">
        <f t="shared" si="4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4">
        <v>116.0</v>
      </c>
      <c r="C124" s="56" t="s">
        <v>164</v>
      </c>
      <c r="D124" s="63">
        <f>30032.22/1.11</f>
        <v>27056.05405</v>
      </c>
      <c r="E124" s="56">
        <v>10.0</v>
      </c>
      <c r="F124" s="59">
        <f t="shared" si="6"/>
        <v>270560.5405</v>
      </c>
      <c r="G124" s="56">
        <v>10.0</v>
      </c>
      <c r="H124" s="59">
        <f t="shared" si="1"/>
        <v>270560.5405</v>
      </c>
      <c r="I124" s="39"/>
      <c r="J124" s="39"/>
      <c r="K124" s="60">
        <f t="shared" si="2"/>
        <v>0</v>
      </c>
      <c r="L124" s="39"/>
      <c r="M124" s="59">
        <f t="shared" si="3"/>
        <v>0</v>
      </c>
      <c r="N124" s="61">
        <v>10.0</v>
      </c>
      <c r="O124" s="62">
        <f t="shared" si="4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4">
        <v>117.0</v>
      </c>
      <c r="C125" s="56" t="s">
        <v>165</v>
      </c>
      <c r="D125" s="63">
        <f>190071/1.11</f>
        <v>171235.1351</v>
      </c>
      <c r="E125" s="56">
        <v>3.0</v>
      </c>
      <c r="F125" s="59">
        <f t="shared" si="6"/>
        <v>513705.4054</v>
      </c>
      <c r="G125" s="56">
        <v>3.0</v>
      </c>
      <c r="H125" s="59">
        <f t="shared" si="1"/>
        <v>513705.4054</v>
      </c>
      <c r="I125" s="39"/>
      <c r="J125" s="39"/>
      <c r="K125" s="60">
        <f t="shared" si="2"/>
        <v>0</v>
      </c>
      <c r="L125" s="39"/>
      <c r="M125" s="59">
        <f t="shared" si="3"/>
        <v>0</v>
      </c>
      <c r="N125" s="61">
        <v>3.0</v>
      </c>
      <c r="O125" s="62">
        <f t="shared" si="4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4">
        <v>118.0</v>
      </c>
      <c r="C126" s="56" t="s">
        <v>166</v>
      </c>
      <c r="D126" s="63">
        <f>422567/1.11</f>
        <v>380690.991</v>
      </c>
      <c r="E126" s="56">
        <v>4.0</v>
      </c>
      <c r="F126" s="59">
        <f t="shared" si="6"/>
        <v>1522763.964</v>
      </c>
      <c r="G126" s="56">
        <v>4.0</v>
      </c>
      <c r="H126" s="59">
        <f t="shared" si="1"/>
        <v>1522763.964</v>
      </c>
      <c r="I126" s="39"/>
      <c r="J126" s="39"/>
      <c r="K126" s="60">
        <f t="shared" si="2"/>
        <v>0</v>
      </c>
      <c r="L126" s="39"/>
      <c r="M126" s="59">
        <f t="shared" si="3"/>
        <v>0</v>
      </c>
      <c r="N126" s="61">
        <v>4.0</v>
      </c>
      <c r="O126" s="62">
        <f t="shared" si="4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4">
        <v>119.0</v>
      </c>
      <c r="C127" s="56" t="s">
        <v>167</v>
      </c>
      <c r="D127" s="70"/>
      <c r="E127" s="56">
        <v>0.0</v>
      </c>
      <c r="F127" s="59">
        <f t="shared" si="6"/>
        <v>0</v>
      </c>
      <c r="G127" s="56">
        <v>0.0</v>
      </c>
      <c r="H127" s="59">
        <f t="shared" si="1"/>
        <v>0</v>
      </c>
      <c r="I127" s="39"/>
      <c r="J127" s="39"/>
      <c r="K127" s="60">
        <f t="shared" si="2"/>
        <v>0</v>
      </c>
      <c r="L127" s="39"/>
      <c r="M127" s="59">
        <f t="shared" si="3"/>
        <v>0</v>
      </c>
      <c r="N127" s="61">
        <v>0.0</v>
      </c>
      <c r="O127" s="62">
        <f t="shared" si="4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4">
        <v>120.0</v>
      </c>
      <c r="C128" s="56" t="s">
        <v>168</v>
      </c>
      <c r="D128" s="63">
        <v>94.67</v>
      </c>
      <c r="E128" s="56">
        <v>9998.0</v>
      </c>
      <c r="F128" s="59">
        <f t="shared" si="6"/>
        <v>946510.66</v>
      </c>
      <c r="G128" s="56">
        <v>9998.0</v>
      </c>
      <c r="H128" s="59">
        <f t="shared" si="1"/>
        <v>946510.66</v>
      </c>
      <c r="I128" s="39"/>
      <c r="J128" s="39"/>
      <c r="K128" s="60">
        <f t="shared" si="2"/>
        <v>0</v>
      </c>
      <c r="L128" s="56"/>
      <c r="M128" s="59">
        <f t="shared" si="3"/>
        <v>0</v>
      </c>
      <c r="N128" s="61">
        <v>9998.0</v>
      </c>
      <c r="O128" s="62">
        <f t="shared" si="4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4">
        <v>121.0</v>
      </c>
      <c r="C129" s="56" t="s">
        <v>169</v>
      </c>
      <c r="D129" s="67">
        <v>24000.0</v>
      </c>
      <c r="E129" s="56">
        <v>8.0</v>
      </c>
      <c r="F129" s="59">
        <f t="shared" si="6"/>
        <v>192000</v>
      </c>
      <c r="G129" s="56">
        <v>8.0</v>
      </c>
      <c r="H129" s="59">
        <f t="shared" si="1"/>
        <v>192000</v>
      </c>
      <c r="I129" s="39"/>
      <c r="J129" s="39"/>
      <c r="K129" s="60">
        <f t="shared" si="2"/>
        <v>0</v>
      </c>
      <c r="L129" s="39"/>
      <c r="M129" s="59">
        <f t="shared" si="3"/>
        <v>0</v>
      </c>
      <c r="N129" s="61">
        <v>8.0</v>
      </c>
      <c r="O129" s="62">
        <f t="shared" si="4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4">
        <v>122.0</v>
      </c>
      <c r="C130" s="56" t="s">
        <v>170</v>
      </c>
      <c r="D130" s="67">
        <v>22500.0</v>
      </c>
      <c r="E130" s="56">
        <v>0.0</v>
      </c>
      <c r="F130" s="59">
        <f t="shared" si="6"/>
        <v>0</v>
      </c>
      <c r="G130" s="56">
        <v>0.0</v>
      </c>
      <c r="H130" s="59">
        <f t="shared" si="1"/>
        <v>0</v>
      </c>
      <c r="I130" s="39"/>
      <c r="J130" s="39"/>
      <c r="K130" s="60">
        <f t="shared" si="2"/>
        <v>0</v>
      </c>
      <c r="L130" s="39"/>
      <c r="M130" s="59">
        <f t="shared" si="3"/>
        <v>0</v>
      </c>
      <c r="N130" s="61">
        <v>0.0</v>
      </c>
      <c r="O130" s="62">
        <f t="shared" si="4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4">
        <v>123.0</v>
      </c>
      <c r="C131" s="56" t="s">
        <v>171</v>
      </c>
      <c r="D131" s="67">
        <v>9549.55</v>
      </c>
      <c r="E131" s="56">
        <v>62.0</v>
      </c>
      <c r="F131" s="59">
        <f t="shared" si="6"/>
        <v>592072.1</v>
      </c>
      <c r="G131" s="56">
        <v>62.0</v>
      </c>
      <c r="H131" s="59">
        <f t="shared" si="1"/>
        <v>592072.1</v>
      </c>
      <c r="I131" s="39"/>
      <c r="J131" s="39"/>
      <c r="K131" s="60">
        <f t="shared" si="2"/>
        <v>0</v>
      </c>
      <c r="L131" s="39"/>
      <c r="M131" s="59">
        <f t="shared" si="3"/>
        <v>0</v>
      </c>
      <c r="N131" s="61">
        <v>62.0</v>
      </c>
      <c r="O131" s="62">
        <f t="shared" si="4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4">
        <v>124.0</v>
      </c>
      <c r="C132" s="56" t="s">
        <v>172</v>
      </c>
      <c r="D132" s="67">
        <v>19819.82</v>
      </c>
      <c r="E132" s="56">
        <v>3450.0</v>
      </c>
      <c r="F132" s="59">
        <f t="shared" si="6"/>
        <v>68378379</v>
      </c>
      <c r="G132" s="56">
        <v>3450.0</v>
      </c>
      <c r="H132" s="59">
        <f t="shared" si="1"/>
        <v>68378379</v>
      </c>
      <c r="I132" s="39"/>
      <c r="J132" s="39"/>
      <c r="K132" s="60">
        <f t="shared" si="2"/>
        <v>0</v>
      </c>
      <c r="L132" s="39"/>
      <c r="M132" s="59">
        <f t="shared" si="3"/>
        <v>0</v>
      </c>
      <c r="N132" s="61">
        <v>34.5</v>
      </c>
      <c r="O132" s="62">
        <f t="shared" si="4"/>
        <v>-3415.5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4">
        <v>125.0</v>
      </c>
      <c r="C133" s="56" t="s">
        <v>173</v>
      </c>
      <c r="D133" s="67">
        <v>9549.55</v>
      </c>
      <c r="E133" s="56">
        <v>4.0</v>
      </c>
      <c r="F133" s="59">
        <f t="shared" si="6"/>
        <v>38198.2</v>
      </c>
      <c r="G133" s="56">
        <v>4.0</v>
      </c>
      <c r="H133" s="59">
        <f t="shared" si="1"/>
        <v>38198.2</v>
      </c>
      <c r="I133" s="39"/>
      <c r="J133" s="39"/>
      <c r="K133" s="60">
        <f t="shared" si="2"/>
        <v>0</v>
      </c>
      <c r="L133" s="39"/>
      <c r="M133" s="59">
        <f t="shared" si="3"/>
        <v>0</v>
      </c>
      <c r="N133" s="61">
        <v>4.0</v>
      </c>
      <c r="O133" s="62">
        <f t="shared" si="4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4">
        <v>126.0</v>
      </c>
      <c r="C134" s="56" t="s">
        <v>174</v>
      </c>
      <c r="D134" s="67">
        <v>19819.82</v>
      </c>
      <c r="E134" s="56">
        <v>26.0</v>
      </c>
      <c r="F134" s="59">
        <f t="shared" si="6"/>
        <v>515315.32</v>
      </c>
      <c r="G134" s="56">
        <v>26.0</v>
      </c>
      <c r="H134" s="59">
        <f t="shared" si="1"/>
        <v>515315.32</v>
      </c>
      <c r="I134" s="39"/>
      <c r="J134" s="39"/>
      <c r="K134" s="60">
        <f t="shared" si="2"/>
        <v>0</v>
      </c>
      <c r="L134" s="39"/>
      <c r="M134" s="59">
        <f t="shared" si="3"/>
        <v>0</v>
      </c>
      <c r="N134" s="61">
        <v>26.0</v>
      </c>
      <c r="O134" s="62">
        <f t="shared" si="4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4">
        <v>127.0</v>
      </c>
      <c r="C135" s="56" t="s">
        <v>175</v>
      </c>
      <c r="D135" s="67">
        <v>9459.46</v>
      </c>
      <c r="E135" s="56">
        <v>3.0</v>
      </c>
      <c r="F135" s="59">
        <f t="shared" si="6"/>
        <v>28378.38</v>
      </c>
      <c r="G135" s="56">
        <v>3.0</v>
      </c>
      <c r="H135" s="59">
        <f t="shared" si="1"/>
        <v>28378.38</v>
      </c>
      <c r="I135" s="39"/>
      <c r="J135" s="39"/>
      <c r="K135" s="60">
        <f t="shared" si="2"/>
        <v>0</v>
      </c>
      <c r="L135" s="39"/>
      <c r="M135" s="59">
        <f t="shared" si="3"/>
        <v>0</v>
      </c>
      <c r="N135" s="61">
        <v>3.0</v>
      </c>
      <c r="O135" s="62">
        <f t="shared" si="4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4">
        <v>128.0</v>
      </c>
      <c r="C136" s="56" t="s">
        <v>176</v>
      </c>
      <c r="D136" s="67">
        <v>19819.82</v>
      </c>
      <c r="E136" s="56">
        <v>131.0</v>
      </c>
      <c r="F136" s="59">
        <f t="shared" si="6"/>
        <v>2596396.42</v>
      </c>
      <c r="G136" s="56">
        <v>131.0</v>
      </c>
      <c r="H136" s="59">
        <f t="shared" si="1"/>
        <v>2596396.42</v>
      </c>
      <c r="I136" s="39"/>
      <c r="J136" s="39"/>
      <c r="K136" s="60">
        <f t="shared" si="2"/>
        <v>0</v>
      </c>
      <c r="L136" s="39"/>
      <c r="M136" s="59">
        <f t="shared" si="3"/>
        <v>0</v>
      </c>
      <c r="N136" s="61">
        <v>131.0</v>
      </c>
      <c r="O136" s="62">
        <f t="shared" si="4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4">
        <v>129.0</v>
      </c>
      <c r="C137" s="56" t="s">
        <v>177</v>
      </c>
      <c r="D137" s="67">
        <v>500.0</v>
      </c>
      <c r="E137" s="56">
        <v>2041.0</v>
      </c>
      <c r="F137" s="59">
        <f t="shared" si="6"/>
        <v>1020500</v>
      </c>
      <c r="G137" s="56">
        <v>2133.0</v>
      </c>
      <c r="H137" s="59">
        <f t="shared" si="1"/>
        <v>1066500</v>
      </c>
      <c r="I137" s="39"/>
      <c r="J137" s="39"/>
      <c r="K137" s="60">
        <f t="shared" si="2"/>
        <v>0</v>
      </c>
      <c r="L137" s="56">
        <v>92.0</v>
      </c>
      <c r="M137" s="59">
        <f t="shared" si="3"/>
        <v>46000</v>
      </c>
      <c r="N137" s="69">
        <v>2133.0</v>
      </c>
      <c r="O137" s="62">
        <f t="shared" si="4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4">
        <v>130.0</v>
      </c>
      <c r="C138" s="56" t="s">
        <v>178</v>
      </c>
      <c r="D138" s="67">
        <v>84.29</v>
      </c>
      <c r="E138" s="56">
        <v>1160.0</v>
      </c>
      <c r="F138" s="59">
        <f t="shared" si="6"/>
        <v>97776.4</v>
      </c>
      <c r="G138" s="56">
        <v>1160.0</v>
      </c>
      <c r="H138" s="59">
        <f t="shared" si="1"/>
        <v>97776.4</v>
      </c>
      <c r="I138" s="39"/>
      <c r="J138" s="39"/>
      <c r="K138" s="60">
        <f t="shared" si="2"/>
        <v>0</v>
      </c>
      <c r="L138" s="39"/>
      <c r="M138" s="59">
        <f t="shared" si="3"/>
        <v>0</v>
      </c>
      <c r="N138" s="69">
        <v>1160.0</v>
      </c>
      <c r="O138" s="62">
        <f t="shared" si="4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4">
        <v>131.0</v>
      </c>
      <c r="C139" s="56" t="s">
        <v>179</v>
      </c>
      <c r="D139" s="67">
        <v>85.0</v>
      </c>
      <c r="E139" s="56">
        <v>184.0</v>
      </c>
      <c r="F139" s="59">
        <f t="shared" si="6"/>
        <v>15640</v>
      </c>
      <c r="G139" s="56">
        <v>184.0</v>
      </c>
      <c r="H139" s="59">
        <f t="shared" si="1"/>
        <v>15640</v>
      </c>
      <c r="I139" s="39"/>
      <c r="J139" s="39"/>
      <c r="K139" s="60">
        <f t="shared" si="2"/>
        <v>0</v>
      </c>
      <c r="L139" s="39"/>
      <c r="M139" s="59">
        <f t="shared" si="3"/>
        <v>0</v>
      </c>
      <c r="N139" s="69">
        <v>184.0</v>
      </c>
      <c r="O139" s="62">
        <f t="shared" si="4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4">
        <v>132.0</v>
      </c>
      <c r="C140" s="56" t="s">
        <v>180</v>
      </c>
      <c r="D140" s="67">
        <v>740.0</v>
      </c>
      <c r="E140" s="56">
        <v>0.0</v>
      </c>
      <c r="F140" s="59">
        <f t="shared" si="6"/>
        <v>0</v>
      </c>
      <c r="G140" s="56">
        <v>0.0</v>
      </c>
      <c r="H140" s="59">
        <f t="shared" si="1"/>
        <v>0</v>
      </c>
      <c r="I140" s="39"/>
      <c r="J140" s="39"/>
      <c r="K140" s="60">
        <f t="shared" si="2"/>
        <v>0</v>
      </c>
      <c r="L140" s="39"/>
      <c r="M140" s="59">
        <f t="shared" si="3"/>
        <v>0</v>
      </c>
      <c r="N140" s="69">
        <v>0.0</v>
      </c>
      <c r="O140" s="62">
        <f t="shared" si="4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4">
        <v>133.0</v>
      </c>
      <c r="C141" s="56" t="s">
        <v>181</v>
      </c>
      <c r="D141" s="67">
        <v>544.0</v>
      </c>
      <c r="E141" s="56">
        <v>62.0</v>
      </c>
      <c r="F141" s="59">
        <f t="shared" si="6"/>
        <v>33728</v>
      </c>
      <c r="G141" s="56">
        <v>62.0</v>
      </c>
      <c r="H141" s="59">
        <f t="shared" si="1"/>
        <v>33728</v>
      </c>
      <c r="I141" s="39"/>
      <c r="J141" s="39"/>
      <c r="K141" s="60">
        <f t="shared" si="2"/>
        <v>0</v>
      </c>
      <c r="L141" s="39"/>
      <c r="M141" s="59">
        <f t="shared" si="3"/>
        <v>0</v>
      </c>
      <c r="N141" s="69">
        <v>62.0</v>
      </c>
      <c r="O141" s="62">
        <f t="shared" si="4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4">
        <v>134.0</v>
      </c>
      <c r="C142" s="56" t="s">
        <v>182</v>
      </c>
      <c r="D142" s="67">
        <v>8000.0</v>
      </c>
      <c r="E142" s="56">
        <v>65.0</v>
      </c>
      <c r="F142" s="59">
        <f t="shared" si="6"/>
        <v>520000</v>
      </c>
      <c r="G142" s="56">
        <v>65.0</v>
      </c>
      <c r="H142" s="59">
        <f t="shared" si="1"/>
        <v>520000</v>
      </c>
      <c r="I142" s="39"/>
      <c r="J142" s="39"/>
      <c r="K142" s="60">
        <f t="shared" si="2"/>
        <v>0</v>
      </c>
      <c r="L142" s="39"/>
      <c r="M142" s="59">
        <f t="shared" si="3"/>
        <v>0</v>
      </c>
      <c r="N142" s="69">
        <v>65.0</v>
      </c>
      <c r="O142" s="62">
        <f t="shared" si="4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4">
        <v>135.0</v>
      </c>
      <c r="C143" s="56" t="s">
        <v>183</v>
      </c>
      <c r="D143" s="67">
        <v>24774.77</v>
      </c>
      <c r="E143" s="56">
        <v>7.0</v>
      </c>
      <c r="F143" s="59">
        <f t="shared" si="6"/>
        <v>173423.39</v>
      </c>
      <c r="G143" s="56">
        <v>7.0</v>
      </c>
      <c r="H143" s="59">
        <f t="shared" si="1"/>
        <v>173423.39</v>
      </c>
      <c r="I143" s="39"/>
      <c r="J143" s="39"/>
      <c r="K143" s="60">
        <f t="shared" si="2"/>
        <v>0</v>
      </c>
      <c r="L143" s="39"/>
      <c r="M143" s="59">
        <f t="shared" si="3"/>
        <v>0</v>
      </c>
      <c r="N143" s="69">
        <v>7.0</v>
      </c>
      <c r="O143" s="62">
        <f t="shared" si="4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4">
        <v>136.0</v>
      </c>
      <c r="C144" s="56" t="s">
        <v>184</v>
      </c>
      <c r="D144" s="67">
        <v>2157.14</v>
      </c>
      <c r="E144" s="56">
        <v>41.0</v>
      </c>
      <c r="F144" s="59">
        <f t="shared" si="6"/>
        <v>88442.74</v>
      </c>
      <c r="G144" s="56">
        <v>41.0</v>
      </c>
      <c r="H144" s="59">
        <f t="shared" si="1"/>
        <v>88442.74</v>
      </c>
      <c r="I144" s="39"/>
      <c r="J144" s="39"/>
      <c r="K144" s="60">
        <f t="shared" si="2"/>
        <v>0</v>
      </c>
      <c r="L144" s="39"/>
      <c r="M144" s="59">
        <f t="shared" si="3"/>
        <v>0</v>
      </c>
      <c r="N144" s="69">
        <v>41.0</v>
      </c>
      <c r="O144" s="62">
        <f t="shared" si="4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4">
        <v>137.0</v>
      </c>
      <c r="C145" s="56" t="s">
        <v>185</v>
      </c>
      <c r="D145" s="67">
        <v>13666.67</v>
      </c>
      <c r="E145" s="56">
        <v>17050.0</v>
      </c>
      <c r="F145" s="59">
        <f t="shared" si="6"/>
        <v>233016723.5</v>
      </c>
      <c r="G145" s="56">
        <v>17050.0</v>
      </c>
      <c r="H145" s="59">
        <f t="shared" si="1"/>
        <v>233016723.5</v>
      </c>
      <c r="I145" s="39"/>
      <c r="J145" s="39"/>
      <c r="K145" s="60">
        <f t="shared" si="2"/>
        <v>0</v>
      </c>
      <c r="L145" s="39"/>
      <c r="M145" s="59">
        <f t="shared" si="3"/>
        <v>0</v>
      </c>
      <c r="N145" s="69">
        <v>170.5</v>
      </c>
      <c r="O145" s="62">
        <f t="shared" si="4"/>
        <v>-16879.5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4">
        <v>138.0</v>
      </c>
      <c r="C146" s="56" t="s">
        <v>186</v>
      </c>
      <c r="D146" s="67">
        <v>7200.0</v>
      </c>
      <c r="E146" s="56">
        <v>69.0</v>
      </c>
      <c r="F146" s="59">
        <f t="shared" si="6"/>
        <v>496800</v>
      </c>
      <c r="G146" s="56">
        <v>69.0</v>
      </c>
      <c r="H146" s="59">
        <f t="shared" si="1"/>
        <v>496800</v>
      </c>
      <c r="I146" s="39"/>
      <c r="J146" s="39"/>
      <c r="K146" s="60">
        <f t="shared" si="2"/>
        <v>0</v>
      </c>
      <c r="L146" s="39"/>
      <c r="M146" s="59">
        <f t="shared" si="3"/>
        <v>0</v>
      </c>
      <c r="N146" s="69">
        <v>69.0</v>
      </c>
      <c r="O146" s="62">
        <f t="shared" si="4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4">
        <v>139.0</v>
      </c>
      <c r="C147" s="56" t="s">
        <v>187</v>
      </c>
      <c r="D147" s="67">
        <v>7200.0</v>
      </c>
      <c r="E147" s="56">
        <v>77.0</v>
      </c>
      <c r="F147" s="59">
        <f t="shared" si="6"/>
        <v>554400</v>
      </c>
      <c r="G147" s="56">
        <v>77.0</v>
      </c>
      <c r="H147" s="59">
        <f t="shared" si="1"/>
        <v>554400</v>
      </c>
      <c r="I147" s="39"/>
      <c r="J147" s="39"/>
      <c r="K147" s="60">
        <f t="shared" si="2"/>
        <v>0</v>
      </c>
      <c r="L147" s="39"/>
      <c r="M147" s="59">
        <f t="shared" si="3"/>
        <v>0</v>
      </c>
      <c r="N147" s="69">
        <v>77.0</v>
      </c>
      <c r="O147" s="62">
        <f t="shared" si="4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4">
        <v>140.0</v>
      </c>
      <c r="C148" s="56" t="s">
        <v>188</v>
      </c>
      <c r="D148" s="67">
        <v>34500.0</v>
      </c>
      <c r="E148" s="56">
        <v>27.0</v>
      </c>
      <c r="F148" s="59">
        <f t="shared" si="6"/>
        <v>931500</v>
      </c>
      <c r="G148" s="56">
        <v>27.0</v>
      </c>
      <c r="H148" s="59">
        <f t="shared" si="1"/>
        <v>931500</v>
      </c>
      <c r="I148" s="39"/>
      <c r="J148" s="39"/>
      <c r="K148" s="60">
        <f t="shared" si="2"/>
        <v>0</v>
      </c>
      <c r="L148" s="39"/>
      <c r="M148" s="59">
        <f t="shared" si="3"/>
        <v>0</v>
      </c>
      <c r="N148" s="69">
        <v>27.0</v>
      </c>
      <c r="O148" s="62">
        <f t="shared" si="4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4">
        <v>141.0</v>
      </c>
      <c r="C149" s="56" t="s">
        <v>189</v>
      </c>
      <c r="D149" s="67">
        <v>53513.51</v>
      </c>
      <c r="E149" s="56">
        <v>152.0</v>
      </c>
      <c r="F149" s="59">
        <f t="shared" si="6"/>
        <v>8134053.52</v>
      </c>
      <c r="G149" s="56">
        <v>152.0</v>
      </c>
      <c r="H149" s="59">
        <f t="shared" si="1"/>
        <v>8134053.52</v>
      </c>
      <c r="I149" s="39"/>
      <c r="J149" s="39"/>
      <c r="K149" s="60">
        <f t="shared" si="2"/>
        <v>0</v>
      </c>
      <c r="L149" s="39"/>
      <c r="M149" s="59">
        <f t="shared" si="3"/>
        <v>0</v>
      </c>
      <c r="N149" s="69">
        <v>152.0</v>
      </c>
      <c r="O149" s="62">
        <f t="shared" si="4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4">
        <v>142.0</v>
      </c>
      <c r="C150" s="56" t="s">
        <v>190</v>
      </c>
      <c r="D150" s="67">
        <v>5855.86</v>
      </c>
      <c r="E150" s="56">
        <v>37.0</v>
      </c>
      <c r="F150" s="59">
        <f t="shared" si="6"/>
        <v>216666.82</v>
      </c>
      <c r="G150" s="56">
        <v>37.0</v>
      </c>
      <c r="H150" s="59">
        <f t="shared" si="1"/>
        <v>216666.82</v>
      </c>
      <c r="I150" s="39"/>
      <c r="J150" s="39"/>
      <c r="K150" s="60">
        <f t="shared" si="2"/>
        <v>0</v>
      </c>
      <c r="L150" s="39"/>
      <c r="M150" s="59">
        <f t="shared" si="3"/>
        <v>0</v>
      </c>
      <c r="N150" s="69">
        <v>37.0</v>
      </c>
      <c r="O150" s="62">
        <f t="shared" si="4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4">
        <v>143.0</v>
      </c>
      <c r="C151" s="56" t="s">
        <v>191</v>
      </c>
      <c r="D151" s="67">
        <v>8558.56</v>
      </c>
      <c r="E151" s="56">
        <v>8.0</v>
      </c>
      <c r="F151" s="59">
        <f t="shared" si="6"/>
        <v>68468.48</v>
      </c>
      <c r="G151" s="56">
        <v>8.0</v>
      </c>
      <c r="H151" s="59">
        <f t="shared" si="1"/>
        <v>68468.48</v>
      </c>
      <c r="I151" s="39"/>
      <c r="J151" s="39"/>
      <c r="K151" s="60">
        <f t="shared" si="2"/>
        <v>0</v>
      </c>
      <c r="L151" s="39"/>
      <c r="M151" s="59">
        <f t="shared" si="3"/>
        <v>0</v>
      </c>
      <c r="N151" s="69">
        <v>8.0</v>
      </c>
      <c r="O151" s="62">
        <f t="shared" si="4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4">
        <v>144.0</v>
      </c>
      <c r="C152" s="56" t="s">
        <v>192</v>
      </c>
      <c r="D152" s="67">
        <v>200.0</v>
      </c>
      <c r="E152" s="56">
        <v>572.0</v>
      </c>
      <c r="F152" s="59">
        <f t="shared" si="6"/>
        <v>114400</v>
      </c>
      <c r="G152" s="56">
        <v>577.0</v>
      </c>
      <c r="H152" s="59">
        <f t="shared" si="1"/>
        <v>115400</v>
      </c>
      <c r="I152" s="39"/>
      <c r="J152" s="39"/>
      <c r="K152" s="60">
        <f t="shared" si="2"/>
        <v>0</v>
      </c>
      <c r="L152" s="56">
        <v>5.0</v>
      </c>
      <c r="M152" s="59">
        <f t="shared" si="3"/>
        <v>1000</v>
      </c>
      <c r="N152" s="69">
        <v>577.0</v>
      </c>
      <c r="O152" s="62">
        <f t="shared" si="4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4">
        <v>145.0</v>
      </c>
      <c r="C153" s="56" t="s">
        <v>193</v>
      </c>
      <c r="D153" s="67">
        <v>250000.0</v>
      </c>
      <c r="E153" s="56">
        <v>1.0</v>
      </c>
      <c r="F153" s="59">
        <f t="shared" si="6"/>
        <v>250000</v>
      </c>
      <c r="G153" s="56">
        <v>1.0</v>
      </c>
      <c r="H153" s="59">
        <f t="shared" si="1"/>
        <v>250000</v>
      </c>
      <c r="I153" s="39"/>
      <c r="J153" s="39"/>
      <c r="K153" s="60">
        <f t="shared" si="2"/>
        <v>0</v>
      </c>
      <c r="L153" s="39"/>
      <c r="M153" s="59">
        <f t="shared" si="3"/>
        <v>0</v>
      </c>
      <c r="N153" s="69">
        <v>1.0</v>
      </c>
      <c r="O153" s="62">
        <f t="shared" si="4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4">
        <v>146.0</v>
      </c>
      <c r="C154" s="56" t="s">
        <v>194</v>
      </c>
      <c r="D154" s="63">
        <f>10556/1.11</f>
        <v>9509.90991</v>
      </c>
      <c r="E154" s="56">
        <v>3.0</v>
      </c>
      <c r="F154" s="59">
        <f t="shared" si="6"/>
        <v>28529.72973</v>
      </c>
      <c r="G154" s="56">
        <v>3.0</v>
      </c>
      <c r="H154" s="59">
        <f t="shared" si="1"/>
        <v>28529.72973</v>
      </c>
      <c r="I154" s="39"/>
      <c r="J154" s="39"/>
      <c r="K154" s="60">
        <f t="shared" si="2"/>
        <v>0</v>
      </c>
      <c r="L154" s="39"/>
      <c r="M154" s="59">
        <f t="shared" si="3"/>
        <v>0</v>
      </c>
      <c r="N154" s="69">
        <v>3.0</v>
      </c>
      <c r="O154" s="62">
        <f t="shared" si="4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4">
        <v>147.0</v>
      </c>
      <c r="C155" s="56" t="s">
        <v>195</v>
      </c>
      <c r="D155" s="67">
        <v>2500.0</v>
      </c>
      <c r="E155" s="56">
        <v>6.0</v>
      </c>
      <c r="F155" s="59">
        <f t="shared" si="6"/>
        <v>15000</v>
      </c>
      <c r="G155" s="56">
        <v>6.0</v>
      </c>
      <c r="H155" s="59">
        <f t="shared" si="1"/>
        <v>15000</v>
      </c>
      <c r="I155" s="39"/>
      <c r="J155" s="39"/>
      <c r="K155" s="60">
        <f t="shared" si="2"/>
        <v>0</v>
      </c>
      <c r="L155" s="39"/>
      <c r="M155" s="59">
        <f t="shared" si="3"/>
        <v>0</v>
      </c>
      <c r="N155" s="69">
        <v>6.0</v>
      </c>
      <c r="O155" s="62">
        <f t="shared" si="4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4">
        <v>148.0</v>
      </c>
      <c r="C156" s="56" t="s">
        <v>196</v>
      </c>
      <c r="D156" s="67">
        <v>18000.0</v>
      </c>
      <c r="E156" s="56">
        <v>162.5</v>
      </c>
      <c r="F156" s="59">
        <f t="shared" si="6"/>
        <v>2925000</v>
      </c>
      <c r="G156" s="56">
        <v>164.0</v>
      </c>
      <c r="H156" s="59">
        <f t="shared" si="1"/>
        <v>2952000</v>
      </c>
      <c r="I156" s="39"/>
      <c r="J156" s="39"/>
      <c r="K156" s="60">
        <f t="shared" si="2"/>
        <v>0</v>
      </c>
      <c r="L156" s="56">
        <v>1.5</v>
      </c>
      <c r="M156" s="59">
        <f t="shared" si="3"/>
        <v>27000</v>
      </c>
      <c r="N156" s="69">
        <v>164.0</v>
      </c>
      <c r="O156" s="62">
        <f t="shared" si="4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4">
        <v>149.0</v>
      </c>
      <c r="C157" s="56" t="s">
        <v>197</v>
      </c>
      <c r="D157" s="67">
        <v>46935.14</v>
      </c>
      <c r="E157" s="56">
        <v>47.18</v>
      </c>
      <c r="F157" s="59">
        <f t="shared" si="6"/>
        <v>2214399.905</v>
      </c>
      <c r="G157" s="56">
        <v>58.2</v>
      </c>
      <c r="H157" s="59">
        <f t="shared" si="1"/>
        <v>2731625.148</v>
      </c>
      <c r="I157" s="39"/>
      <c r="J157" s="39"/>
      <c r="K157" s="60">
        <f t="shared" si="2"/>
        <v>0</v>
      </c>
      <c r="L157" s="56">
        <v>11.02</v>
      </c>
      <c r="M157" s="59">
        <f t="shared" si="3"/>
        <v>517225.2428</v>
      </c>
      <c r="N157" s="69"/>
      <c r="O157" s="62">
        <f t="shared" si="4"/>
        <v>-58.2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4">
        <v>150.0</v>
      </c>
      <c r="C158" s="56" t="s">
        <v>198</v>
      </c>
      <c r="D158" s="63">
        <f>20777.78/1.11</f>
        <v>18718.72072</v>
      </c>
      <c r="E158" s="56">
        <v>6.0</v>
      </c>
      <c r="F158" s="59">
        <f t="shared" si="6"/>
        <v>112312.3243</v>
      </c>
      <c r="G158" s="56">
        <v>10.0</v>
      </c>
      <c r="H158" s="59">
        <f t="shared" si="1"/>
        <v>187187.2072</v>
      </c>
      <c r="I158" s="39"/>
      <c r="J158" s="39"/>
      <c r="K158" s="60">
        <f t="shared" si="2"/>
        <v>0</v>
      </c>
      <c r="L158" s="56">
        <v>4.0</v>
      </c>
      <c r="M158" s="59">
        <f t="shared" si="3"/>
        <v>74874.88288</v>
      </c>
      <c r="N158" s="69">
        <v>10.0</v>
      </c>
      <c r="O158" s="62">
        <f t="shared" si="4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4">
        <v>151.0</v>
      </c>
      <c r="C159" s="56" t="s">
        <v>199</v>
      </c>
      <c r="D159" s="67">
        <v>4800.0</v>
      </c>
      <c r="E159" s="56">
        <v>38.0</v>
      </c>
      <c r="F159" s="59">
        <f t="shared" si="6"/>
        <v>182400</v>
      </c>
      <c r="G159" s="56">
        <v>53.0</v>
      </c>
      <c r="H159" s="59">
        <f t="shared" si="1"/>
        <v>254400</v>
      </c>
      <c r="I159" s="39"/>
      <c r="J159" s="39"/>
      <c r="K159" s="60">
        <f t="shared" si="2"/>
        <v>0</v>
      </c>
      <c r="L159" s="56">
        <v>15.0</v>
      </c>
      <c r="M159" s="59">
        <f t="shared" si="3"/>
        <v>72000</v>
      </c>
      <c r="N159" s="69">
        <v>53.0</v>
      </c>
      <c r="O159" s="62">
        <f t="shared" si="4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4">
        <v>152.0</v>
      </c>
      <c r="C160" s="56" t="s">
        <v>200</v>
      </c>
      <c r="D160" s="67">
        <v>27027.03</v>
      </c>
      <c r="E160" s="56">
        <v>29.0</v>
      </c>
      <c r="F160" s="59">
        <f t="shared" si="6"/>
        <v>783783.87</v>
      </c>
      <c r="G160" s="56">
        <v>31.0</v>
      </c>
      <c r="H160" s="59">
        <f t="shared" si="1"/>
        <v>837837.93</v>
      </c>
      <c r="I160" s="39"/>
      <c r="J160" s="39"/>
      <c r="K160" s="60">
        <f t="shared" si="2"/>
        <v>0</v>
      </c>
      <c r="L160" s="56">
        <v>2.0</v>
      </c>
      <c r="M160" s="59">
        <f t="shared" si="3"/>
        <v>54054.06</v>
      </c>
      <c r="N160" s="69">
        <v>31.0</v>
      </c>
      <c r="O160" s="62">
        <f t="shared" si="4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4">
        <v>153.0</v>
      </c>
      <c r="C161" s="56" t="s">
        <v>201</v>
      </c>
      <c r="D161" s="67">
        <v>27027.03</v>
      </c>
      <c r="E161" s="56">
        <v>0.0</v>
      </c>
      <c r="F161" s="59">
        <f t="shared" si="6"/>
        <v>0</v>
      </c>
      <c r="G161" s="56">
        <v>1.0</v>
      </c>
      <c r="H161" s="59">
        <f t="shared" si="1"/>
        <v>27027.03</v>
      </c>
      <c r="I161" s="39"/>
      <c r="J161" s="39"/>
      <c r="K161" s="60">
        <f t="shared" si="2"/>
        <v>0</v>
      </c>
      <c r="L161" s="56">
        <v>1.0</v>
      </c>
      <c r="M161" s="59">
        <f t="shared" si="3"/>
        <v>27027.03</v>
      </c>
      <c r="N161" s="69">
        <v>1.0</v>
      </c>
      <c r="O161" s="62">
        <f t="shared" si="4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4">
        <v>154.0</v>
      </c>
      <c r="C162" s="56" t="s">
        <v>202</v>
      </c>
      <c r="D162" s="63">
        <f>20543/1.11</f>
        <v>18507.20721</v>
      </c>
      <c r="E162" s="56">
        <v>100.0</v>
      </c>
      <c r="F162" s="59">
        <f t="shared" si="6"/>
        <v>1850720.721</v>
      </c>
      <c r="G162" s="56">
        <v>100.0</v>
      </c>
      <c r="H162" s="59">
        <f t="shared" si="1"/>
        <v>1850720.721</v>
      </c>
      <c r="I162" s="39"/>
      <c r="J162" s="39"/>
      <c r="K162" s="60">
        <f t="shared" si="2"/>
        <v>0</v>
      </c>
      <c r="L162" s="39"/>
      <c r="M162" s="59">
        <f t="shared" si="3"/>
        <v>0</v>
      </c>
      <c r="N162" s="69">
        <v>100.0</v>
      </c>
      <c r="O162" s="62">
        <f t="shared" si="4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4">
        <v>155.0</v>
      </c>
      <c r="C163" s="56" t="s">
        <v>203</v>
      </c>
      <c r="D163" s="67">
        <v>80000.0</v>
      </c>
      <c r="E163" s="56">
        <v>148.7</v>
      </c>
      <c r="F163" s="59">
        <f t="shared" si="6"/>
        <v>11896000</v>
      </c>
      <c r="G163" s="56">
        <v>149.0</v>
      </c>
      <c r="H163" s="59">
        <f t="shared" si="1"/>
        <v>11920000</v>
      </c>
      <c r="I163" s="39"/>
      <c r="J163" s="39"/>
      <c r="K163" s="60">
        <f t="shared" si="2"/>
        <v>0</v>
      </c>
      <c r="L163" s="56">
        <v>0.3</v>
      </c>
      <c r="M163" s="59">
        <f t="shared" si="3"/>
        <v>24000</v>
      </c>
      <c r="N163" s="69">
        <v>149.0</v>
      </c>
      <c r="O163" s="62">
        <f t="shared" si="4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4">
        <v>156.0</v>
      </c>
      <c r="C164" s="56" t="s">
        <v>204</v>
      </c>
      <c r="D164" s="67">
        <v>40000.0</v>
      </c>
      <c r="E164" s="56">
        <v>250.0</v>
      </c>
      <c r="F164" s="59">
        <f t="shared" si="6"/>
        <v>10000000</v>
      </c>
      <c r="G164" s="56">
        <v>250.0</v>
      </c>
      <c r="H164" s="59">
        <f t="shared" si="1"/>
        <v>10000000</v>
      </c>
      <c r="I164" s="39"/>
      <c r="J164" s="39"/>
      <c r="K164" s="60">
        <f t="shared" si="2"/>
        <v>0</v>
      </c>
      <c r="L164" s="39"/>
      <c r="M164" s="59">
        <f t="shared" si="3"/>
        <v>0</v>
      </c>
      <c r="N164" s="69">
        <v>250.0</v>
      </c>
      <c r="O164" s="62">
        <f t="shared" si="4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4">
        <v>157.0</v>
      </c>
      <c r="C165" s="56" t="s">
        <v>205</v>
      </c>
      <c r="D165" s="67">
        <v>500.0</v>
      </c>
      <c r="E165" s="56">
        <v>243.0</v>
      </c>
      <c r="F165" s="59">
        <f t="shared" si="6"/>
        <v>121500</v>
      </c>
      <c r="G165" s="56">
        <v>243.0</v>
      </c>
      <c r="H165" s="59">
        <f t="shared" si="1"/>
        <v>121500</v>
      </c>
      <c r="I165" s="39"/>
      <c r="J165" s="39"/>
      <c r="K165" s="60">
        <f t="shared" si="2"/>
        <v>0</v>
      </c>
      <c r="L165" s="39"/>
      <c r="M165" s="59">
        <f t="shared" si="3"/>
        <v>0</v>
      </c>
      <c r="N165" s="69">
        <v>243.0</v>
      </c>
      <c r="O165" s="62">
        <f t="shared" si="4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4">
        <v>158.0</v>
      </c>
      <c r="C166" s="56" t="s">
        <v>206</v>
      </c>
      <c r="D166" s="67">
        <v>3000.0</v>
      </c>
      <c r="E166" s="56">
        <v>54.0</v>
      </c>
      <c r="F166" s="59">
        <f t="shared" si="6"/>
        <v>162000</v>
      </c>
      <c r="G166" s="56">
        <v>55.0</v>
      </c>
      <c r="H166" s="59">
        <f t="shared" si="1"/>
        <v>165000</v>
      </c>
      <c r="I166" s="39"/>
      <c r="J166" s="39"/>
      <c r="K166" s="60">
        <f t="shared" si="2"/>
        <v>0</v>
      </c>
      <c r="L166" s="56">
        <v>1.0</v>
      </c>
      <c r="M166" s="59">
        <f t="shared" si="3"/>
        <v>3000</v>
      </c>
      <c r="N166" s="69">
        <v>55.0</v>
      </c>
      <c r="O166" s="62">
        <f t="shared" si="4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4">
        <v>159.0</v>
      </c>
      <c r="C167" s="56" t="s">
        <v>207</v>
      </c>
      <c r="D167" s="63">
        <v>1827.78</v>
      </c>
      <c r="E167" s="56">
        <v>3624.0</v>
      </c>
      <c r="F167" s="59">
        <f t="shared" si="6"/>
        <v>6623874.72</v>
      </c>
      <c r="G167" s="56">
        <v>3624.0</v>
      </c>
      <c r="H167" s="59">
        <f t="shared" si="1"/>
        <v>6623874.72</v>
      </c>
      <c r="I167" s="39"/>
      <c r="J167" s="39"/>
      <c r="K167" s="60">
        <f t="shared" si="2"/>
        <v>0</v>
      </c>
      <c r="L167" s="39"/>
      <c r="M167" s="59">
        <f t="shared" si="3"/>
        <v>0</v>
      </c>
      <c r="N167" s="69">
        <v>3624.0</v>
      </c>
      <c r="O167" s="62">
        <f t="shared" si="4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4">
        <v>160.0</v>
      </c>
      <c r="C168" s="56" t="s">
        <v>208</v>
      </c>
      <c r="D168" s="67">
        <v>160.0</v>
      </c>
      <c r="E168" s="56">
        <v>965.0</v>
      </c>
      <c r="F168" s="59">
        <f t="shared" si="6"/>
        <v>154400</v>
      </c>
      <c r="G168" s="56">
        <v>965.0</v>
      </c>
      <c r="H168" s="59">
        <f t="shared" si="1"/>
        <v>154400</v>
      </c>
      <c r="I168" s="39"/>
      <c r="J168" s="39"/>
      <c r="K168" s="60">
        <f t="shared" si="2"/>
        <v>0</v>
      </c>
      <c r="L168" s="39"/>
      <c r="M168" s="59">
        <f t="shared" si="3"/>
        <v>0</v>
      </c>
      <c r="N168" s="69">
        <v>965.0</v>
      </c>
      <c r="O168" s="62">
        <f t="shared" si="4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4">
        <v>161.0</v>
      </c>
      <c r="C169" s="56" t="s">
        <v>209</v>
      </c>
      <c r="D169" s="67">
        <v>1000.0</v>
      </c>
      <c r="E169" s="56">
        <v>1569.0</v>
      </c>
      <c r="F169" s="59">
        <f t="shared" si="6"/>
        <v>1569000</v>
      </c>
      <c r="G169" s="56">
        <v>1569.0</v>
      </c>
      <c r="H169" s="59">
        <f t="shared" si="1"/>
        <v>1569000</v>
      </c>
      <c r="I169" s="39"/>
      <c r="J169" s="39"/>
      <c r="K169" s="60">
        <f t="shared" si="2"/>
        <v>0</v>
      </c>
      <c r="L169" s="39"/>
      <c r="M169" s="59">
        <f t="shared" si="3"/>
        <v>0</v>
      </c>
      <c r="N169" s="69">
        <v>1569.0</v>
      </c>
      <c r="O169" s="62">
        <f t="shared" si="4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4">
        <v>162.0</v>
      </c>
      <c r="C170" s="56" t="s">
        <v>210</v>
      </c>
      <c r="D170" s="67">
        <v>200.0</v>
      </c>
      <c r="E170" s="56">
        <v>473.0</v>
      </c>
      <c r="F170" s="59">
        <f t="shared" si="6"/>
        <v>94600</v>
      </c>
      <c r="G170" s="56">
        <v>512.0</v>
      </c>
      <c r="H170" s="59">
        <f t="shared" si="1"/>
        <v>102400</v>
      </c>
      <c r="I170" s="39"/>
      <c r="J170" s="39"/>
      <c r="K170" s="60">
        <f t="shared" si="2"/>
        <v>0</v>
      </c>
      <c r="L170" s="56">
        <v>39.0</v>
      </c>
      <c r="M170" s="59">
        <f t="shared" si="3"/>
        <v>7800</v>
      </c>
      <c r="N170" s="69">
        <v>512.0</v>
      </c>
      <c r="O170" s="62">
        <f t="shared" si="4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4">
        <v>163.0</v>
      </c>
      <c r="C171" s="56" t="s">
        <v>211</v>
      </c>
      <c r="D171" s="67">
        <v>6500.0</v>
      </c>
      <c r="E171" s="56">
        <v>12.0</v>
      </c>
      <c r="F171" s="59">
        <f t="shared" si="6"/>
        <v>78000</v>
      </c>
      <c r="G171" s="56">
        <v>12.0</v>
      </c>
      <c r="H171" s="59">
        <f t="shared" si="1"/>
        <v>78000</v>
      </c>
      <c r="I171" s="39"/>
      <c r="J171" s="39"/>
      <c r="K171" s="60">
        <f t="shared" si="2"/>
        <v>0</v>
      </c>
      <c r="L171" s="39"/>
      <c r="M171" s="59">
        <f t="shared" si="3"/>
        <v>0</v>
      </c>
      <c r="N171" s="69">
        <v>12.0</v>
      </c>
      <c r="O171" s="62">
        <f t="shared" si="4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4">
        <v>164.0</v>
      </c>
      <c r="C172" s="56" t="s">
        <v>212</v>
      </c>
      <c r="D172" s="67">
        <v>9000.0</v>
      </c>
      <c r="E172" s="56">
        <v>13.0</v>
      </c>
      <c r="F172" s="59">
        <f t="shared" si="6"/>
        <v>117000</v>
      </c>
      <c r="G172" s="56">
        <v>20.0</v>
      </c>
      <c r="H172" s="59">
        <f t="shared" si="1"/>
        <v>180000</v>
      </c>
      <c r="I172" s="39"/>
      <c r="J172" s="39"/>
      <c r="K172" s="60">
        <f t="shared" si="2"/>
        <v>0</v>
      </c>
      <c r="L172" s="56">
        <v>7.0</v>
      </c>
      <c r="M172" s="59">
        <f t="shared" si="3"/>
        <v>63000</v>
      </c>
      <c r="N172" s="69">
        <v>20.0</v>
      </c>
      <c r="O172" s="62">
        <f t="shared" si="4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4">
        <v>165.0</v>
      </c>
      <c r="C173" s="56" t="s">
        <v>213</v>
      </c>
      <c r="D173" s="67">
        <v>9000.0</v>
      </c>
      <c r="E173" s="56">
        <v>14.0</v>
      </c>
      <c r="F173" s="59">
        <f t="shared" si="6"/>
        <v>126000</v>
      </c>
      <c r="G173" s="56">
        <v>14.0</v>
      </c>
      <c r="H173" s="59">
        <f t="shared" si="1"/>
        <v>126000</v>
      </c>
      <c r="I173" s="39"/>
      <c r="J173" s="39"/>
      <c r="K173" s="60">
        <f t="shared" si="2"/>
        <v>0</v>
      </c>
      <c r="L173" s="39"/>
      <c r="M173" s="59">
        <f t="shared" si="3"/>
        <v>0</v>
      </c>
      <c r="N173" s="69">
        <v>14.0</v>
      </c>
      <c r="O173" s="62">
        <f t="shared" si="4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4">
        <v>166.0</v>
      </c>
      <c r="C174" s="56" t="s">
        <v>214</v>
      </c>
      <c r="D174" s="63">
        <v>558139.0</v>
      </c>
      <c r="E174" s="56">
        <v>13.0</v>
      </c>
      <c r="F174" s="59">
        <f t="shared" si="6"/>
        <v>7255807</v>
      </c>
      <c r="G174" s="56">
        <v>45.0</v>
      </c>
      <c r="H174" s="59">
        <f t="shared" si="1"/>
        <v>25116255</v>
      </c>
      <c r="I174" s="39"/>
      <c r="J174" s="39"/>
      <c r="K174" s="60">
        <f t="shared" si="2"/>
        <v>0</v>
      </c>
      <c r="L174" s="56">
        <v>32.0</v>
      </c>
      <c r="M174" s="59">
        <f t="shared" si="3"/>
        <v>17860448</v>
      </c>
      <c r="N174" s="69">
        <v>45.0</v>
      </c>
      <c r="O174" s="62">
        <f t="shared" si="4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4">
        <v>167.0</v>
      </c>
      <c r="C175" s="56" t="s">
        <v>215</v>
      </c>
      <c r="D175" s="67">
        <v>3500.0</v>
      </c>
      <c r="E175" s="56">
        <v>20.0</v>
      </c>
      <c r="F175" s="59">
        <f t="shared" si="6"/>
        <v>70000</v>
      </c>
      <c r="G175" s="56">
        <v>20.0</v>
      </c>
      <c r="H175" s="59">
        <f t="shared" si="1"/>
        <v>70000</v>
      </c>
      <c r="I175" s="39"/>
      <c r="J175" s="39"/>
      <c r="K175" s="60">
        <f t="shared" si="2"/>
        <v>0</v>
      </c>
      <c r="L175" s="39"/>
      <c r="M175" s="59">
        <f t="shared" si="3"/>
        <v>0</v>
      </c>
      <c r="N175" s="69">
        <v>20.0</v>
      </c>
      <c r="O175" s="62">
        <f t="shared" si="4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4">
        <v>168.0</v>
      </c>
      <c r="C176" s="56" t="s">
        <v>216</v>
      </c>
      <c r="D176" s="67">
        <v>172.885</v>
      </c>
      <c r="E176" s="56">
        <v>3900.0</v>
      </c>
      <c r="F176" s="59">
        <f t="shared" si="6"/>
        <v>674251.5</v>
      </c>
      <c r="G176" s="56">
        <v>3900.0</v>
      </c>
      <c r="H176" s="59">
        <f t="shared" si="1"/>
        <v>674251.5</v>
      </c>
      <c r="I176" s="39"/>
      <c r="J176" s="39"/>
      <c r="K176" s="60">
        <f t="shared" si="2"/>
        <v>0</v>
      </c>
      <c r="L176" s="39"/>
      <c r="M176" s="59">
        <f t="shared" si="3"/>
        <v>0</v>
      </c>
      <c r="N176" s="69">
        <v>3900.0</v>
      </c>
      <c r="O176" s="62">
        <f t="shared" si="4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4">
        <v>169.0</v>
      </c>
      <c r="C177" s="56" t="s">
        <v>217</v>
      </c>
      <c r="D177" s="63">
        <v>480.0</v>
      </c>
      <c r="E177" s="56">
        <v>398.0</v>
      </c>
      <c r="F177" s="59">
        <f t="shared" si="6"/>
        <v>191040</v>
      </c>
      <c r="G177" s="56">
        <v>414.0</v>
      </c>
      <c r="H177" s="59">
        <f t="shared" si="1"/>
        <v>198720</v>
      </c>
      <c r="I177" s="39"/>
      <c r="J177" s="39"/>
      <c r="K177" s="60">
        <f t="shared" si="2"/>
        <v>0</v>
      </c>
      <c r="L177" s="56">
        <v>16.0</v>
      </c>
      <c r="M177" s="59">
        <f t="shared" si="3"/>
        <v>7680</v>
      </c>
      <c r="N177" s="69">
        <v>414.0</v>
      </c>
      <c r="O177" s="62">
        <f t="shared" si="4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4">
        <v>170.0</v>
      </c>
      <c r="C178" s="56" t="s">
        <v>218</v>
      </c>
      <c r="D178" s="63">
        <v>671.67</v>
      </c>
      <c r="E178" s="56">
        <v>186.0</v>
      </c>
      <c r="F178" s="59">
        <f t="shared" si="6"/>
        <v>124930.62</v>
      </c>
      <c r="G178" s="56">
        <v>336.0</v>
      </c>
      <c r="H178" s="59">
        <f t="shared" si="1"/>
        <v>225681.12</v>
      </c>
      <c r="I178" s="39"/>
      <c r="J178" s="39"/>
      <c r="K178" s="60">
        <f t="shared" si="2"/>
        <v>0</v>
      </c>
      <c r="L178" s="56">
        <v>150.0</v>
      </c>
      <c r="M178" s="59">
        <f t="shared" si="3"/>
        <v>100750.5</v>
      </c>
      <c r="N178" s="69">
        <v>336.0</v>
      </c>
      <c r="O178" s="62">
        <f t="shared" si="4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4">
        <v>171.0</v>
      </c>
      <c r="C179" s="56" t="s">
        <v>219</v>
      </c>
      <c r="D179" s="63">
        <v>756.67</v>
      </c>
      <c r="E179" s="56">
        <v>458.0</v>
      </c>
      <c r="F179" s="59">
        <f t="shared" si="6"/>
        <v>346554.86</v>
      </c>
      <c r="G179" s="56">
        <v>458.0</v>
      </c>
      <c r="H179" s="59">
        <f t="shared" si="1"/>
        <v>346554.86</v>
      </c>
      <c r="I179" s="39"/>
      <c r="J179" s="39"/>
      <c r="K179" s="60">
        <f t="shared" si="2"/>
        <v>0</v>
      </c>
      <c r="L179" s="39"/>
      <c r="M179" s="59">
        <f t="shared" si="3"/>
        <v>0</v>
      </c>
      <c r="N179" s="69">
        <v>458.0</v>
      </c>
      <c r="O179" s="62">
        <f t="shared" si="4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4">
        <v>172.0</v>
      </c>
      <c r="C180" s="56" t="s">
        <v>220</v>
      </c>
      <c r="D180" s="63">
        <v>923.33</v>
      </c>
      <c r="E180" s="56">
        <v>83.0</v>
      </c>
      <c r="F180" s="59">
        <f t="shared" si="6"/>
        <v>76636.39</v>
      </c>
      <c r="G180" s="56">
        <v>383.0</v>
      </c>
      <c r="H180" s="59">
        <f t="shared" si="1"/>
        <v>353635.39</v>
      </c>
      <c r="I180" s="39"/>
      <c r="J180" s="39"/>
      <c r="K180" s="60">
        <f t="shared" si="2"/>
        <v>0</v>
      </c>
      <c r="L180" s="56">
        <v>300.0</v>
      </c>
      <c r="M180" s="59">
        <f t="shared" si="3"/>
        <v>276999</v>
      </c>
      <c r="N180" s="69">
        <v>383.0</v>
      </c>
      <c r="O180" s="62">
        <f t="shared" si="4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4">
        <v>173.0</v>
      </c>
      <c r="C181" s="56" t="s">
        <v>221</v>
      </c>
      <c r="D181" s="67">
        <v>585.0</v>
      </c>
      <c r="E181" s="56">
        <v>162.0</v>
      </c>
      <c r="F181" s="59">
        <f t="shared" si="6"/>
        <v>94770</v>
      </c>
      <c r="G181" s="56">
        <v>162.0</v>
      </c>
      <c r="H181" s="59">
        <f t="shared" si="1"/>
        <v>94770</v>
      </c>
      <c r="I181" s="39"/>
      <c r="J181" s="39"/>
      <c r="K181" s="60">
        <f t="shared" si="2"/>
        <v>0</v>
      </c>
      <c r="L181" s="39"/>
      <c r="M181" s="59">
        <f t="shared" si="3"/>
        <v>0</v>
      </c>
      <c r="N181" s="69">
        <v>162.0</v>
      </c>
      <c r="O181" s="62">
        <f t="shared" si="4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4">
        <v>174.0</v>
      </c>
      <c r="C182" s="56" t="s">
        <v>222</v>
      </c>
      <c r="D182" s="67">
        <v>360.0</v>
      </c>
      <c r="E182" s="56">
        <v>163.0</v>
      </c>
      <c r="F182" s="59">
        <f t="shared" si="6"/>
        <v>58680</v>
      </c>
      <c r="G182" s="56">
        <v>214.0</v>
      </c>
      <c r="H182" s="59">
        <f t="shared" si="1"/>
        <v>77040</v>
      </c>
      <c r="I182" s="39"/>
      <c r="J182" s="39"/>
      <c r="K182" s="60">
        <f t="shared" si="2"/>
        <v>0</v>
      </c>
      <c r="L182" s="56">
        <v>51.0</v>
      </c>
      <c r="M182" s="59">
        <f t="shared" si="3"/>
        <v>18360</v>
      </c>
      <c r="N182" s="69">
        <v>214.0</v>
      </c>
      <c r="O182" s="62">
        <f t="shared" si="4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4">
        <v>175.0</v>
      </c>
      <c r="C183" s="56" t="s">
        <v>223</v>
      </c>
      <c r="D183" s="63">
        <f>11500/1.11</f>
        <v>10360.36036</v>
      </c>
      <c r="E183" s="56">
        <v>76.0</v>
      </c>
      <c r="F183" s="59">
        <f t="shared" si="6"/>
        <v>787387.3874</v>
      </c>
      <c r="G183" s="56">
        <v>76.0</v>
      </c>
      <c r="H183" s="59">
        <f t="shared" si="1"/>
        <v>787387.3874</v>
      </c>
      <c r="I183" s="39"/>
      <c r="J183" s="39"/>
      <c r="K183" s="60">
        <f t="shared" si="2"/>
        <v>0</v>
      </c>
      <c r="L183" s="39"/>
      <c r="M183" s="59">
        <f t="shared" si="3"/>
        <v>0</v>
      </c>
      <c r="N183" s="69">
        <v>76.0</v>
      </c>
      <c r="O183" s="62">
        <f t="shared" si="4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4">
        <v>176.0</v>
      </c>
      <c r="C184" s="56" t="s">
        <v>224</v>
      </c>
      <c r="D184" s="63">
        <f>13000/1.11</f>
        <v>11711.71171</v>
      </c>
      <c r="E184" s="56">
        <v>23.0</v>
      </c>
      <c r="F184" s="59">
        <f t="shared" si="6"/>
        <v>269369.3694</v>
      </c>
      <c r="G184" s="56">
        <v>23.0</v>
      </c>
      <c r="H184" s="59">
        <f t="shared" si="1"/>
        <v>269369.3694</v>
      </c>
      <c r="I184" s="39"/>
      <c r="J184" s="39"/>
      <c r="K184" s="60">
        <f t="shared" si="2"/>
        <v>0</v>
      </c>
      <c r="L184" s="39"/>
      <c r="M184" s="59">
        <f t="shared" si="3"/>
        <v>0</v>
      </c>
      <c r="N184" s="69">
        <v>23.0</v>
      </c>
      <c r="O184" s="62">
        <f t="shared" si="4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4">
        <v>177.0</v>
      </c>
      <c r="C185" s="56" t="s">
        <v>225</v>
      </c>
      <c r="D185" s="63">
        <f>14000/1.11</f>
        <v>12612.61261</v>
      </c>
      <c r="E185" s="56">
        <v>1.0</v>
      </c>
      <c r="F185" s="59">
        <f t="shared" si="6"/>
        <v>12612.61261</v>
      </c>
      <c r="G185" s="56">
        <v>1.0</v>
      </c>
      <c r="H185" s="59">
        <f t="shared" si="1"/>
        <v>12612.61261</v>
      </c>
      <c r="I185" s="39"/>
      <c r="J185" s="39"/>
      <c r="K185" s="60">
        <f t="shared" si="2"/>
        <v>0</v>
      </c>
      <c r="L185" s="39"/>
      <c r="M185" s="59">
        <f t="shared" si="3"/>
        <v>0</v>
      </c>
      <c r="N185" s="69">
        <v>1.0</v>
      </c>
      <c r="O185" s="62">
        <f t="shared" si="4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4">
        <v>178.0</v>
      </c>
      <c r="C186" s="56" t="s">
        <v>226</v>
      </c>
      <c r="D186" s="63">
        <f>18500/1.11</f>
        <v>16666.66667</v>
      </c>
      <c r="E186" s="56">
        <v>1.0</v>
      </c>
      <c r="F186" s="59">
        <f t="shared" si="6"/>
        <v>16666.66667</v>
      </c>
      <c r="G186" s="56">
        <v>1.0</v>
      </c>
      <c r="H186" s="59">
        <f t="shared" si="1"/>
        <v>16666.66667</v>
      </c>
      <c r="I186" s="39"/>
      <c r="J186" s="39"/>
      <c r="K186" s="60">
        <f t="shared" si="2"/>
        <v>0</v>
      </c>
      <c r="L186" s="39"/>
      <c r="M186" s="59">
        <f t="shared" si="3"/>
        <v>0</v>
      </c>
      <c r="N186" s="69">
        <v>1.0</v>
      </c>
      <c r="O186" s="62">
        <f t="shared" si="4"/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4">
        <v>179.0</v>
      </c>
      <c r="C187" s="56" t="s">
        <v>227</v>
      </c>
      <c r="D187" s="63">
        <f>21500/1.11</f>
        <v>19369.36937</v>
      </c>
      <c r="E187" s="56">
        <v>26.0</v>
      </c>
      <c r="F187" s="59">
        <f t="shared" si="6"/>
        <v>503603.6036</v>
      </c>
      <c r="G187" s="56">
        <v>26.0</v>
      </c>
      <c r="H187" s="59">
        <f t="shared" si="1"/>
        <v>503603.6036</v>
      </c>
      <c r="I187" s="39"/>
      <c r="J187" s="39"/>
      <c r="K187" s="60">
        <f t="shared" si="2"/>
        <v>0</v>
      </c>
      <c r="L187" s="39"/>
      <c r="M187" s="59">
        <f t="shared" si="3"/>
        <v>0</v>
      </c>
      <c r="N187" s="69">
        <v>26.0</v>
      </c>
      <c r="O187" s="62">
        <f t="shared" si="4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4">
        <v>180.0</v>
      </c>
      <c r="C188" s="56" t="s">
        <v>228</v>
      </c>
      <c r="D188" s="63">
        <f>24000/1.11</f>
        <v>21621.62162</v>
      </c>
      <c r="E188" s="56">
        <v>2.0</v>
      </c>
      <c r="F188" s="59">
        <f t="shared" si="6"/>
        <v>43243.24324</v>
      </c>
      <c r="G188" s="56">
        <v>2.0</v>
      </c>
      <c r="H188" s="59">
        <f t="shared" si="1"/>
        <v>43243.24324</v>
      </c>
      <c r="I188" s="39"/>
      <c r="J188" s="39"/>
      <c r="K188" s="60">
        <f t="shared" si="2"/>
        <v>0</v>
      </c>
      <c r="L188" s="39"/>
      <c r="M188" s="59">
        <f t="shared" si="3"/>
        <v>0</v>
      </c>
      <c r="N188" s="69">
        <v>2.0</v>
      </c>
      <c r="O188" s="62">
        <f t="shared" si="4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4">
        <v>181.0</v>
      </c>
      <c r="C189" s="56" t="s">
        <v>229</v>
      </c>
      <c r="D189" s="63">
        <f>27000/1.11</f>
        <v>24324.32432</v>
      </c>
      <c r="E189" s="56">
        <v>32.0</v>
      </c>
      <c r="F189" s="59">
        <f t="shared" si="6"/>
        <v>778378.3784</v>
      </c>
      <c r="G189" s="56">
        <v>32.0</v>
      </c>
      <c r="H189" s="59">
        <f t="shared" si="1"/>
        <v>778378.3784</v>
      </c>
      <c r="I189" s="39"/>
      <c r="J189" s="39"/>
      <c r="K189" s="60">
        <f t="shared" si="2"/>
        <v>0</v>
      </c>
      <c r="L189" s="39"/>
      <c r="M189" s="59">
        <f t="shared" si="3"/>
        <v>0</v>
      </c>
      <c r="N189" s="69">
        <v>32.0</v>
      </c>
      <c r="O189" s="62">
        <f t="shared" si="4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4">
        <v>182.0</v>
      </c>
      <c r="C190" s="56" t="s">
        <v>230</v>
      </c>
      <c r="D190" s="63">
        <f>30000/1.11</f>
        <v>27027.02703</v>
      </c>
      <c r="E190" s="56">
        <v>4.0</v>
      </c>
      <c r="F190" s="59">
        <f t="shared" si="6"/>
        <v>108108.1081</v>
      </c>
      <c r="G190" s="56">
        <v>4.0</v>
      </c>
      <c r="H190" s="59">
        <f t="shared" si="1"/>
        <v>108108.1081</v>
      </c>
      <c r="I190" s="39"/>
      <c r="J190" s="39"/>
      <c r="K190" s="60">
        <f t="shared" si="2"/>
        <v>0</v>
      </c>
      <c r="L190" s="39"/>
      <c r="M190" s="59">
        <f t="shared" si="3"/>
        <v>0</v>
      </c>
      <c r="N190" s="69">
        <v>4.0</v>
      </c>
      <c r="O190" s="62">
        <f t="shared" si="4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4">
        <v>183.0</v>
      </c>
      <c r="C191" s="56" t="s">
        <v>231</v>
      </c>
      <c r="D191" s="67">
        <f t="shared" ref="D191:D192" si="9">18000/1.11</f>
        <v>16216.21622</v>
      </c>
      <c r="E191" s="56">
        <v>0.0</v>
      </c>
      <c r="F191" s="59">
        <f t="shared" si="6"/>
        <v>0</v>
      </c>
      <c r="G191" s="56">
        <v>0.0</v>
      </c>
      <c r="H191" s="59">
        <f t="shared" si="1"/>
        <v>0</v>
      </c>
      <c r="I191" s="39"/>
      <c r="J191" s="39"/>
      <c r="K191" s="60">
        <f t="shared" si="2"/>
        <v>0</v>
      </c>
      <c r="L191" s="39"/>
      <c r="M191" s="59">
        <f t="shared" si="3"/>
        <v>0</v>
      </c>
      <c r="N191" s="69">
        <v>0.0</v>
      </c>
      <c r="O191" s="62">
        <f t="shared" si="4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4">
        <v>184.0</v>
      </c>
      <c r="C192" s="56" t="s">
        <v>232</v>
      </c>
      <c r="D192" s="67">
        <f t="shared" si="9"/>
        <v>16216.21622</v>
      </c>
      <c r="E192" s="56">
        <v>1.0</v>
      </c>
      <c r="F192" s="59">
        <f t="shared" si="6"/>
        <v>16216.21622</v>
      </c>
      <c r="G192" s="56">
        <v>1.0</v>
      </c>
      <c r="H192" s="59">
        <f t="shared" si="1"/>
        <v>16216.21622</v>
      </c>
      <c r="I192" s="39"/>
      <c r="J192" s="39"/>
      <c r="K192" s="60">
        <f t="shared" si="2"/>
        <v>0</v>
      </c>
      <c r="L192" s="39"/>
      <c r="M192" s="59">
        <f t="shared" si="3"/>
        <v>0</v>
      </c>
      <c r="N192" s="69">
        <v>1.0</v>
      </c>
      <c r="O192" s="62">
        <f t="shared" si="4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4">
        <v>185.0</v>
      </c>
      <c r="C193" s="56" t="s">
        <v>233</v>
      </c>
      <c r="D193" s="67">
        <v>35.0</v>
      </c>
      <c r="E193" s="56">
        <v>663.0</v>
      </c>
      <c r="F193" s="59">
        <f t="shared" si="6"/>
        <v>23205</v>
      </c>
      <c r="G193" s="56">
        <v>663.0</v>
      </c>
      <c r="H193" s="59">
        <f t="shared" si="1"/>
        <v>23205</v>
      </c>
      <c r="I193" s="39"/>
      <c r="J193" s="39"/>
      <c r="K193" s="60">
        <f t="shared" si="2"/>
        <v>0</v>
      </c>
      <c r="L193" s="39"/>
      <c r="M193" s="59">
        <f t="shared" si="3"/>
        <v>0</v>
      </c>
      <c r="N193" s="69">
        <v>663.0</v>
      </c>
      <c r="O193" s="62">
        <f t="shared" si="4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4">
        <v>186.0</v>
      </c>
      <c r="C194" s="56" t="s">
        <v>234</v>
      </c>
      <c r="D194" s="67">
        <v>60.0</v>
      </c>
      <c r="E194" s="56">
        <v>814.0</v>
      </c>
      <c r="F194" s="59">
        <f t="shared" si="6"/>
        <v>48840</v>
      </c>
      <c r="G194" s="56">
        <v>814.0</v>
      </c>
      <c r="H194" s="59">
        <f t="shared" si="1"/>
        <v>48840</v>
      </c>
      <c r="I194" s="39"/>
      <c r="J194" s="39"/>
      <c r="K194" s="60">
        <f t="shared" si="2"/>
        <v>0</v>
      </c>
      <c r="L194" s="39"/>
      <c r="M194" s="59">
        <f t="shared" si="3"/>
        <v>0</v>
      </c>
      <c r="N194" s="69">
        <v>814.0</v>
      </c>
      <c r="O194" s="62">
        <f t="shared" si="4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4">
        <v>187.0</v>
      </c>
      <c r="C195" s="56" t="s">
        <v>235</v>
      </c>
      <c r="D195" s="67">
        <v>12500.0</v>
      </c>
      <c r="E195" s="56">
        <v>25.0</v>
      </c>
      <c r="F195" s="59">
        <f t="shared" si="6"/>
        <v>312500</v>
      </c>
      <c r="G195" s="56">
        <v>25.0</v>
      </c>
      <c r="H195" s="59">
        <f t="shared" si="1"/>
        <v>312500</v>
      </c>
      <c r="I195" s="39"/>
      <c r="J195" s="39"/>
      <c r="K195" s="60">
        <f t="shared" si="2"/>
        <v>0</v>
      </c>
      <c r="L195" s="39"/>
      <c r="M195" s="59">
        <f t="shared" si="3"/>
        <v>0</v>
      </c>
      <c r="N195" s="69">
        <v>25.0</v>
      </c>
      <c r="O195" s="62">
        <f t="shared" si="4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4">
        <v>188.0</v>
      </c>
      <c r="C196" s="56" t="s">
        <v>236</v>
      </c>
      <c r="D196" s="63">
        <v>5638.89</v>
      </c>
      <c r="E196" s="56">
        <v>114.0</v>
      </c>
      <c r="F196" s="59">
        <f t="shared" si="6"/>
        <v>642833.46</v>
      </c>
      <c r="G196" s="56">
        <v>108.0</v>
      </c>
      <c r="H196" s="59">
        <f t="shared" si="1"/>
        <v>609000.12</v>
      </c>
      <c r="I196" s="39"/>
      <c r="J196" s="56">
        <v>6.0</v>
      </c>
      <c r="K196" s="60">
        <f t="shared" si="2"/>
        <v>33833.34</v>
      </c>
      <c r="L196" s="39"/>
      <c r="M196" s="59">
        <f t="shared" si="3"/>
        <v>0</v>
      </c>
      <c r="N196" s="69">
        <v>108.0</v>
      </c>
      <c r="O196" s="62">
        <f t="shared" si="4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4">
        <v>189.0</v>
      </c>
      <c r="C197" s="56" t="s">
        <v>237</v>
      </c>
      <c r="D197" s="63">
        <f>17555.56/1.11</f>
        <v>15815.81982</v>
      </c>
      <c r="E197" s="56">
        <v>8.0</v>
      </c>
      <c r="F197" s="59">
        <f t="shared" si="6"/>
        <v>126526.5586</v>
      </c>
      <c r="G197" s="56">
        <v>12.0</v>
      </c>
      <c r="H197" s="59">
        <f t="shared" si="1"/>
        <v>189789.8378</v>
      </c>
      <c r="I197" s="39"/>
      <c r="J197" s="56"/>
      <c r="K197" s="60">
        <f t="shared" si="2"/>
        <v>0</v>
      </c>
      <c r="L197" s="56">
        <v>4.0</v>
      </c>
      <c r="M197" s="59">
        <f t="shared" si="3"/>
        <v>63263.27928</v>
      </c>
      <c r="N197" s="69">
        <v>12.0</v>
      </c>
      <c r="O197" s="62">
        <f t="shared" si="4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4">
        <v>190.0</v>
      </c>
      <c r="C198" s="56" t="s">
        <v>238</v>
      </c>
      <c r="D198" s="67">
        <v>26576.58</v>
      </c>
      <c r="E198" s="56">
        <v>2.0</v>
      </c>
      <c r="F198" s="59">
        <f t="shared" si="6"/>
        <v>53153.16</v>
      </c>
      <c r="G198" s="56">
        <v>2.0</v>
      </c>
      <c r="H198" s="59">
        <f t="shared" si="1"/>
        <v>53153.16</v>
      </c>
      <c r="I198" s="39"/>
      <c r="J198" s="39"/>
      <c r="K198" s="60">
        <f t="shared" si="2"/>
        <v>0</v>
      </c>
      <c r="L198" s="39"/>
      <c r="M198" s="59">
        <f t="shared" si="3"/>
        <v>0</v>
      </c>
      <c r="N198" s="69">
        <v>2.0</v>
      </c>
      <c r="O198" s="62">
        <f t="shared" si="4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4">
        <v>191.0</v>
      </c>
      <c r="C199" s="56" t="s">
        <v>239</v>
      </c>
      <c r="D199" s="67">
        <v>25000.0</v>
      </c>
      <c r="E199" s="56">
        <v>2.0</v>
      </c>
      <c r="F199" s="59">
        <f t="shared" si="6"/>
        <v>50000</v>
      </c>
      <c r="G199" s="56">
        <v>0.0</v>
      </c>
      <c r="H199" s="59">
        <f t="shared" si="1"/>
        <v>0</v>
      </c>
      <c r="I199" s="39"/>
      <c r="J199" s="56">
        <v>2.0</v>
      </c>
      <c r="K199" s="60">
        <f t="shared" si="2"/>
        <v>50000</v>
      </c>
      <c r="L199" s="39"/>
      <c r="M199" s="59">
        <f t="shared" si="3"/>
        <v>0</v>
      </c>
      <c r="N199" s="69">
        <v>0.0</v>
      </c>
      <c r="O199" s="62">
        <f t="shared" si="4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4">
        <v>192.0</v>
      </c>
      <c r="C200" s="56" t="s">
        <v>240</v>
      </c>
      <c r="D200" s="63">
        <f>110.33/1.11</f>
        <v>99.3963964</v>
      </c>
      <c r="E200" s="56">
        <v>2694.0</v>
      </c>
      <c r="F200" s="59">
        <f t="shared" si="6"/>
        <v>267773.8919</v>
      </c>
      <c r="G200" s="56">
        <v>2850.0</v>
      </c>
      <c r="H200" s="59">
        <f t="shared" si="1"/>
        <v>283279.7297</v>
      </c>
      <c r="I200" s="39"/>
      <c r="J200" s="39"/>
      <c r="K200" s="60">
        <f t="shared" si="2"/>
        <v>0</v>
      </c>
      <c r="L200" s="56">
        <v>156.0</v>
      </c>
      <c r="M200" s="59">
        <f t="shared" si="3"/>
        <v>15505.83784</v>
      </c>
      <c r="N200" s="69">
        <v>2694.0</v>
      </c>
      <c r="O200" s="62">
        <f t="shared" si="4"/>
        <v>-156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4">
        <v>193.0</v>
      </c>
      <c r="C201" s="56" t="s">
        <v>241</v>
      </c>
      <c r="D201" s="63">
        <f>70.44/1.11</f>
        <v>63.45945946</v>
      </c>
      <c r="E201" s="56">
        <v>6029.0</v>
      </c>
      <c r="F201" s="59">
        <f t="shared" si="6"/>
        <v>382597.0811</v>
      </c>
      <c r="G201" s="56">
        <v>5500.0</v>
      </c>
      <c r="H201" s="59">
        <f t="shared" si="1"/>
        <v>349027.027</v>
      </c>
      <c r="I201" s="39"/>
      <c r="J201" s="56">
        <v>529.0</v>
      </c>
      <c r="K201" s="60">
        <f t="shared" si="2"/>
        <v>33570.05405</v>
      </c>
      <c r="L201" s="39"/>
      <c r="M201" s="59">
        <f t="shared" si="3"/>
        <v>0</v>
      </c>
      <c r="N201" s="69">
        <v>5500.0</v>
      </c>
      <c r="O201" s="62">
        <f t="shared" si="4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4">
        <v>194.0</v>
      </c>
      <c r="C202" s="56" t="s">
        <v>242</v>
      </c>
      <c r="D202" s="63">
        <f>149.11/1.11</f>
        <v>134.3333333</v>
      </c>
      <c r="E202" s="56">
        <v>2506.0</v>
      </c>
      <c r="F202" s="59">
        <f t="shared" si="6"/>
        <v>336639.3333</v>
      </c>
      <c r="G202" s="56">
        <v>2616.0</v>
      </c>
      <c r="H202" s="59">
        <f t="shared" si="1"/>
        <v>351416</v>
      </c>
      <c r="I202" s="39"/>
      <c r="J202" s="39"/>
      <c r="K202" s="60">
        <f t="shared" si="2"/>
        <v>0</v>
      </c>
      <c r="L202" s="56">
        <v>110.0</v>
      </c>
      <c r="M202" s="59">
        <f t="shared" si="3"/>
        <v>14776.66667</v>
      </c>
      <c r="N202" s="69">
        <v>2616.0</v>
      </c>
      <c r="O202" s="62">
        <f t="shared" si="4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4">
        <v>195.0</v>
      </c>
      <c r="C203" s="56" t="s">
        <v>243</v>
      </c>
      <c r="D203" s="63">
        <f>311.67/1.11</f>
        <v>280.7837838</v>
      </c>
      <c r="E203" s="56">
        <v>2928.0</v>
      </c>
      <c r="F203" s="59">
        <f t="shared" si="6"/>
        <v>822134.9189</v>
      </c>
      <c r="G203" s="56">
        <v>2978.0</v>
      </c>
      <c r="H203" s="59">
        <f t="shared" si="1"/>
        <v>836174.1081</v>
      </c>
      <c r="I203" s="39"/>
      <c r="J203" s="39"/>
      <c r="K203" s="60">
        <f t="shared" si="2"/>
        <v>0</v>
      </c>
      <c r="L203" s="56">
        <v>50.0</v>
      </c>
      <c r="M203" s="59">
        <f t="shared" si="3"/>
        <v>14039.18919</v>
      </c>
      <c r="N203" s="69">
        <v>2978.0</v>
      </c>
      <c r="O203" s="62">
        <f t="shared" si="4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4">
        <v>196.0</v>
      </c>
      <c r="C204" s="56" t="s">
        <v>244</v>
      </c>
      <c r="D204" s="67">
        <v>51.0</v>
      </c>
      <c r="E204" s="56">
        <v>1908.0</v>
      </c>
      <c r="F204" s="59">
        <f t="shared" si="6"/>
        <v>97308</v>
      </c>
      <c r="G204" s="56">
        <v>1908.0</v>
      </c>
      <c r="H204" s="59">
        <f t="shared" si="1"/>
        <v>97308</v>
      </c>
      <c r="I204" s="39"/>
      <c r="J204" s="39"/>
      <c r="K204" s="60">
        <f t="shared" si="2"/>
        <v>0</v>
      </c>
      <c r="L204" s="39"/>
      <c r="M204" s="59">
        <f t="shared" si="3"/>
        <v>0</v>
      </c>
      <c r="N204" s="69">
        <v>1908.0</v>
      </c>
      <c r="O204" s="62">
        <f t="shared" si="4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4">
        <v>197.0</v>
      </c>
      <c r="C205" s="56" t="s">
        <v>245</v>
      </c>
      <c r="D205" s="67">
        <v>58.32</v>
      </c>
      <c r="E205" s="56">
        <v>4592.0</v>
      </c>
      <c r="F205" s="59">
        <f t="shared" si="6"/>
        <v>267805.44</v>
      </c>
      <c r="G205" s="56">
        <v>4592.0</v>
      </c>
      <c r="H205" s="59">
        <f t="shared" si="1"/>
        <v>267805.44</v>
      </c>
      <c r="I205" s="39"/>
      <c r="J205" s="39"/>
      <c r="K205" s="60">
        <f t="shared" si="2"/>
        <v>0</v>
      </c>
      <c r="L205" s="39"/>
      <c r="M205" s="59">
        <f t="shared" si="3"/>
        <v>0</v>
      </c>
      <c r="N205" s="69">
        <v>4592.0</v>
      </c>
      <c r="O205" s="62">
        <f t="shared" si="4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4">
        <v>198.0</v>
      </c>
      <c r="C206" s="56" t="s">
        <v>246</v>
      </c>
      <c r="D206" s="63">
        <f>50.56/1.11</f>
        <v>45.54954955</v>
      </c>
      <c r="E206" s="56">
        <v>4598.0</v>
      </c>
      <c r="F206" s="59">
        <f t="shared" si="6"/>
        <v>209436.8288</v>
      </c>
      <c r="G206" s="56">
        <v>4718.0</v>
      </c>
      <c r="H206" s="59">
        <f t="shared" si="1"/>
        <v>214902.7748</v>
      </c>
      <c r="I206" s="39"/>
      <c r="J206" s="39"/>
      <c r="K206" s="60">
        <f t="shared" si="2"/>
        <v>0</v>
      </c>
      <c r="L206" s="56">
        <v>120.0</v>
      </c>
      <c r="M206" s="59">
        <f t="shared" si="3"/>
        <v>5465.945946</v>
      </c>
      <c r="N206" s="69">
        <v>4718.0</v>
      </c>
      <c r="O206" s="62">
        <f t="shared" si="4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4">
        <v>199.0</v>
      </c>
      <c r="C207" s="56" t="s">
        <v>247</v>
      </c>
      <c r="D207" s="67">
        <v>119.0</v>
      </c>
      <c r="E207" s="56">
        <v>351.0</v>
      </c>
      <c r="F207" s="59">
        <f t="shared" si="6"/>
        <v>41769</v>
      </c>
      <c r="G207" s="56">
        <v>351.0</v>
      </c>
      <c r="H207" s="59">
        <f t="shared" si="1"/>
        <v>41769</v>
      </c>
      <c r="I207" s="39"/>
      <c r="J207" s="39"/>
      <c r="K207" s="60">
        <f t="shared" si="2"/>
        <v>0</v>
      </c>
      <c r="L207" s="39"/>
      <c r="M207" s="59">
        <f t="shared" si="3"/>
        <v>0</v>
      </c>
      <c r="N207" s="69">
        <v>351.0</v>
      </c>
      <c r="O207" s="62">
        <f t="shared" si="4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4">
        <v>200.0</v>
      </c>
      <c r="C208" s="56" t="s">
        <v>248</v>
      </c>
      <c r="D208" s="63">
        <f>81.67/1.11</f>
        <v>73.57657658</v>
      </c>
      <c r="E208" s="56">
        <v>4089.0</v>
      </c>
      <c r="F208" s="59">
        <f t="shared" si="6"/>
        <v>300854.6216</v>
      </c>
      <c r="G208" s="56">
        <v>4089.0</v>
      </c>
      <c r="H208" s="59">
        <f t="shared" si="1"/>
        <v>300854.6216</v>
      </c>
      <c r="I208" s="39"/>
      <c r="J208" s="39"/>
      <c r="K208" s="60">
        <f t="shared" si="2"/>
        <v>0</v>
      </c>
      <c r="L208" s="39"/>
      <c r="M208" s="59">
        <f t="shared" si="3"/>
        <v>0</v>
      </c>
      <c r="N208" s="69">
        <v>4089.0</v>
      </c>
      <c r="O208" s="62">
        <f t="shared" si="4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4">
        <v>201.0</v>
      </c>
      <c r="C209" s="56" t="s">
        <v>249</v>
      </c>
      <c r="D209" s="67">
        <v>72.0</v>
      </c>
      <c r="E209" s="56">
        <v>4.0</v>
      </c>
      <c r="F209" s="59">
        <f t="shared" si="6"/>
        <v>288</v>
      </c>
      <c r="G209" s="56">
        <v>4.0</v>
      </c>
      <c r="H209" s="59">
        <f t="shared" si="1"/>
        <v>288</v>
      </c>
      <c r="I209" s="39"/>
      <c r="J209" s="39"/>
      <c r="K209" s="60">
        <f t="shared" si="2"/>
        <v>0</v>
      </c>
      <c r="L209" s="39"/>
      <c r="M209" s="59">
        <f t="shared" si="3"/>
        <v>0</v>
      </c>
      <c r="N209" s="69">
        <v>4.0</v>
      </c>
      <c r="O209" s="62">
        <f t="shared" si="4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4">
        <v>202.0</v>
      </c>
      <c r="C210" s="56" t="s">
        <v>250</v>
      </c>
      <c r="D210" s="67">
        <v>51.0</v>
      </c>
      <c r="E210" s="56">
        <v>3719.0</v>
      </c>
      <c r="F210" s="59">
        <f t="shared" si="6"/>
        <v>189669</v>
      </c>
      <c r="G210" s="56">
        <v>3719.0</v>
      </c>
      <c r="H210" s="59">
        <f t="shared" si="1"/>
        <v>189669</v>
      </c>
      <c r="I210" s="39"/>
      <c r="J210" s="39"/>
      <c r="K210" s="60">
        <f t="shared" si="2"/>
        <v>0</v>
      </c>
      <c r="L210" s="39"/>
      <c r="M210" s="59">
        <f t="shared" si="3"/>
        <v>0</v>
      </c>
      <c r="N210" s="69">
        <v>3719.0</v>
      </c>
      <c r="O210" s="62">
        <f t="shared" si="4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4">
        <v>203.0</v>
      </c>
      <c r="C211" s="56" t="s">
        <v>251</v>
      </c>
      <c r="D211" s="67">
        <v>89.0</v>
      </c>
      <c r="E211" s="56">
        <v>1705.0</v>
      </c>
      <c r="F211" s="59">
        <f t="shared" si="6"/>
        <v>151745</v>
      </c>
      <c r="G211" s="56">
        <v>1705.0</v>
      </c>
      <c r="H211" s="59">
        <f t="shared" si="1"/>
        <v>151745</v>
      </c>
      <c r="I211" s="39"/>
      <c r="J211" s="39"/>
      <c r="K211" s="60">
        <f t="shared" si="2"/>
        <v>0</v>
      </c>
      <c r="L211" s="39"/>
      <c r="M211" s="59">
        <f t="shared" si="3"/>
        <v>0</v>
      </c>
      <c r="N211" s="69">
        <v>1705.0</v>
      </c>
      <c r="O211" s="62">
        <f t="shared" si="4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4">
        <v>204.0</v>
      </c>
      <c r="C212" s="56" t="s">
        <v>252</v>
      </c>
      <c r="D212" s="63">
        <f>90.56/1.11</f>
        <v>81.58558559</v>
      </c>
      <c r="E212" s="56">
        <v>5433.0</v>
      </c>
      <c r="F212" s="59">
        <f t="shared" si="6"/>
        <v>443254.4865</v>
      </c>
      <c r="G212" s="56">
        <v>5200.0</v>
      </c>
      <c r="H212" s="59">
        <f t="shared" si="1"/>
        <v>424245.045</v>
      </c>
      <c r="I212" s="39"/>
      <c r="J212" s="56">
        <v>233.0</v>
      </c>
      <c r="K212" s="60">
        <f t="shared" si="2"/>
        <v>19009.44144</v>
      </c>
      <c r="L212" s="39"/>
      <c r="M212" s="59">
        <f t="shared" si="3"/>
        <v>0</v>
      </c>
      <c r="N212" s="69">
        <v>5200.0</v>
      </c>
      <c r="O212" s="62">
        <f t="shared" si="4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4">
        <v>205.0</v>
      </c>
      <c r="C213" s="56" t="s">
        <v>253</v>
      </c>
      <c r="D213" s="67">
        <v>1650.0</v>
      </c>
      <c r="E213" s="56">
        <v>32.0</v>
      </c>
      <c r="F213" s="59">
        <f t="shared" si="6"/>
        <v>52800</v>
      </c>
      <c r="G213" s="56">
        <v>32.0</v>
      </c>
      <c r="H213" s="59">
        <f t="shared" si="1"/>
        <v>52800</v>
      </c>
      <c r="I213" s="39"/>
      <c r="J213" s="39"/>
      <c r="K213" s="60">
        <f t="shared" si="2"/>
        <v>0</v>
      </c>
      <c r="L213" s="39"/>
      <c r="M213" s="59">
        <f t="shared" si="3"/>
        <v>0</v>
      </c>
      <c r="N213" s="69">
        <v>32.0</v>
      </c>
      <c r="O213" s="62">
        <f t="shared" si="4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54">
        <v>206.0</v>
      </c>
      <c r="C214" s="56" t="s">
        <v>254</v>
      </c>
      <c r="D214" s="67">
        <v>5357.0</v>
      </c>
      <c r="E214" s="56">
        <v>67.0</v>
      </c>
      <c r="F214" s="59">
        <f t="shared" si="6"/>
        <v>358919</v>
      </c>
      <c r="G214" s="56">
        <v>158.0</v>
      </c>
      <c r="H214" s="59">
        <f t="shared" si="1"/>
        <v>846406</v>
      </c>
      <c r="I214" s="39"/>
      <c r="J214" s="39"/>
      <c r="K214" s="60">
        <f t="shared" si="2"/>
        <v>0</v>
      </c>
      <c r="L214" s="56">
        <v>91.0</v>
      </c>
      <c r="M214" s="59">
        <f t="shared" si="3"/>
        <v>487487</v>
      </c>
      <c r="N214" s="69">
        <v>158.0</v>
      </c>
      <c r="O214" s="62">
        <f t="shared" si="4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4">
        <v>207.0</v>
      </c>
      <c r="C215" s="56" t="s">
        <v>255</v>
      </c>
      <c r="D215" s="67">
        <v>450.0</v>
      </c>
      <c r="E215" s="56">
        <v>244.0</v>
      </c>
      <c r="F215" s="59">
        <f t="shared" si="6"/>
        <v>109800</v>
      </c>
      <c r="G215" s="56">
        <v>244.0</v>
      </c>
      <c r="H215" s="59">
        <f t="shared" si="1"/>
        <v>109800</v>
      </c>
      <c r="I215" s="39"/>
      <c r="J215" s="39"/>
      <c r="K215" s="60">
        <f t="shared" si="2"/>
        <v>0</v>
      </c>
      <c r="L215" s="39"/>
      <c r="M215" s="59">
        <f t="shared" si="3"/>
        <v>0</v>
      </c>
      <c r="N215" s="69">
        <v>244.0</v>
      </c>
      <c r="O215" s="62">
        <f t="shared" si="4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4">
        <v>208.0</v>
      </c>
      <c r="C216" s="56" t="s">
        <v>256</v>
      </c>
      <c r="D216" s="67">
        <v>315.32</v>
      </c>
      <c r="E216" s="56">
        <v>433.0</v>
      </c>
      <c r="F216" s="59">
        <f t="shared" si="6"/>
        <v>136533.56</v>
      </c>
      <c r="G216" s="56">
        <v>441.0</v>
      </c>
      <c r="H216" s="59">
        <f t="shared" si="1"/>
        <v>139056.12</v>
      </c>
      <c r="I216" s="39"/>
      <c r="J216" s="39"/>
      <c r="K216" s="60">
        <f t="shared" si="2"/>
        <v>0</v>
      </c>
      <c r="L216" s="56">
        <v>8.0</v>
      </c>
      <c r="M216" s="59">
        <f t="shared" si="3"/>
        <v>2522.56</v>
      </c>
      <c r="N216" s="69">
        <v>441.0</v>
      </c>
      <c r="O216" s="62">
        <f t="shared" si="4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4">
        <v>209.0</v>
      </c>
      <c r="C217" s="56" t="s">
        <v>257</v>
      </c>
      <c r="D217" s="63">
        <f>10483/1.11</f>
        <v>9444.144144</v>
      </c>
      <c r="E217" s="56">
        <v>433.0</v>
      </c>
      <c r="F217" s="59">
        <f t="shared" si="6"/>
        <v>4089314.414</v>
      </c>
      <c r="G217" s="56">
        <v>433.0</v>
      </c>
      <c r="H217" s="59">
        <f t="shared" si="1"/>
        <v>4089314.414</v>
      </c>
      <c r="I217" s="39"/>
      <c r="J217" s="39"/>
      <c r="K217" s="60">
        <f t="shared" si="2"/>
        <v>0</v>
      </c>
      <c r="L217" s="39"/>
      <c r="M217" s="59">
        <f t="shared" si="3"/>
        <v>0</v>
      </c>
      <c r="N217" s="69">
        <v>433.0</v>
      </c>
      <c r="O217" s="62">
        <f t="shared" si="4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4">
        <v>210.0</v>
      </c>
      <c r="C218" s="56" t="s">
        <v>258</v>
      </c>
      <c r="D218" s="67">
        <v>3500.0</v>
      </c>
      <c r="E218" s="56">
        <v>2.0</v>
      </c>
      <c r="F218" s="59">
        <f t="shared" si="6"/>
        <v>7000</v>
      </c>
      <c r="G218" s="56">
        <v>2.0</v>
      </c>
      <c r="H218" s="59">
        <f t="shared" si="1"/>
        <v>7000</v>
      </c>
      <c r="I218" s="39"/>
      <c r="J218" s="39"/>
      <c r="K218" s="60">
        <f t="shared" si="2"/>
        <v>0</v>
      </c>
      <c r="L218" s="39"/>
      <c r="M218" s="59">
        <f t="shared" si="3"/>
        <v>0</v>
      </c>
      <c r="N218" s="69">
        <v>2.0</v>
      </c>
      <c r="O218" s="62">
        <f t="shared" si="4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4">
        <v>211.0</v>
      </c>
      <c r="C219" s="56" t="s">
        <v>259</v>
      </c>
      <c r="D219" s="67">
        <v>3500.0</v>
      </c>
      <c r="E219" s="56">
        <v>156.0</v>
      </c>
      <c r="F219" s="59">
        <f t="shared" si="6"/>
        <v>546000</v>
      </c>
      <c r="G219" s="56">
        <v>156.0</v>
      </c>
      <c r="H219" s="59">
        <f t="shared" si="1"/>
        <v>546000</v>
      </c>
      <c r="I219" s="39"/>
      <c r="J219" s="39"/>
      <c r="K219" s="60">
        <f t="shared" si="2"/>
        <v>0</v>
      </c>
      <c r="L219" s="39"/>
      <c r="M219" s="59">
        <f t="shared" si="3"/>
        <v>0</v>
      </c>
      <c r="N219" s="69">
        <v>156.0</v>
      </c>
      <c r="O219" s="62">
        <f t="shared" si="4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4">
        <v>212.0</v>
      </c>
      <c r="C220" s="56" t="s">
        <v>260</v>
      </c>
      <c r="D220" s="67">
        <v>32500.0</v>
      </c>
      <c r="E220" s="56">
        <v>7.0</v>
      </c>
      <c r="F220" s="59">
        <f t="shared" si="6"/>
        <v>227500</v>
      </c>
      <c r="G220" s="56">
        <v>24.0</v>
      </c>
      <c r="H220" s="59">
        <f t="shared" si="1"/>
        <v>780000</v>
      </c>
      <c r="I220" s="39"/>
      <c r="J220" s="39"/>
      <c r="K220" s="60">
        <f t="shared" si="2"/>
        <v>0</v>
      </c>
      <c r="L220" s="56">
        <v>17.0</v>
      </c>
      <c r="M220" s="59">
        <f t="shared" si="3"/>
        <v>552500</v>
      </c>
      <c r="N220" s="69">
        <f>17+7</f>
        <v>24</v>
      </c>
      <c r="O220" s="62">
        <f t="shared" si="4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4">
        <v>213.0</v>
      </c>
      <c r="C221" s="56" t="s">
        <v>261</v>
      </c>
      <c r="D221" s="67">
        <v>19500.0</v>
      </c>
      <c r="E221" s="56">
        <v>10.0</v>
      </c>
      <c r="F221" s="59">
        <f t="shared" si="6"/>
        <v>195000</v>
      </c>
      <c r="G221" s="56">
        <v>10.0</v>
      </c>
      <c r="H221" s="59">
        <f t="shared" si="1"/>
        <v>195000</v>
      </c>
      <c r="I221" s="39"/>
      <c r="J221" s="39"/>
      <c r="K221" s="60">
        <f t="shared" si="2"/>
        <v>0</v>
      </c>
      <c r="L221" s="39"/>
      <c r="M221" s="59">
        <f t="shared" si="3"/>
        <v>0</v>
      </c>
      <c r="N221" s="69">
        <v>10.0</v>
      </c>
      <c r="O221" s="62">
        <f t="shared" si="4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4">
        <v>214.0</v>
      </c>
      <c r="C222" s="56" t="s">
        <v>262</v>
      </c>
      <c r="D222" s="67">
        <v>25000.0</v>
      </c>
      <c r="E222" s="56">
        <v>2.0</v>
      </c>
      <c r="F222" s="59">
        <f t="shared" si="6"/>
        <v>50000</v>
      </c>
      <c r="G222" s="56">
        <v>2.0</v>
      </c>
      <c r="H222" s="59">
        <f t="shared" si="1"/>
        <v>50000</v>
      </c>
      <c r="I222" s="39"/>
      <c r="J222" s="39"/>
      <c r="K222" s="60">
        <f t="shared" si="2"/>
        <v>0</v>
      </c>
      <c r="L222" s="39"/>
      <c r="M222" s="59">
        <f t="shared" si="3"/>
        <v>0</v>
      </c>
      <c r="N222" s="69">
        <v>2.0</v>
      </c>
      <c r="O222" s="62">
        <f t="shared" si="4"/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4">
        <v>215.0</v>
      </c>
      <c r="C223" s="56" t="s">
        <v>263</v>
      </c>
      <c r="D223" s="67">
        <v>27000.0</v>
      </c>
      <c r="E223" s="56">
        <v>0.0</v>
      </c>
      <c r="F223" s="59">
        <f t="shared" si="6"/>
        <v>0</v>
      </c>
      <c r="G223" s="56">
        <v>0.0</v>
      </c>
      <c r="H223" s="59">
        <f t="shared" si="1"/>
        <v>0</v>
      </c>
      <c r="I223" s="39"/>
      <c r="J223" s="39"/>
      <c r="K223" s="60">
        <f t="shared" si="2"/>
        <v>0</v>
      </c>
      <c r="L223" s="39"/>
      <c r="M223" s="59">
        <f t="shared" si="3"/>
        <v>0</v>
      </c>
      <c r="N223" s="69">
        <v>0.0</v>
      </c>
      <c r="O223" s="62">
        <f t="shared" si="4"/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4">
        <v>216.0</v>
      </c>
      <c r="C224" s="56" t="s">
        <v>264</v>
      </c>
      <c r="D224" s="67">
        <v>60000.0</v>
      </c>
      <c r="E224" s="56">
        <v>7.0</v>
      </c>
      <c r="F224" s="59">
        <f t="shared" si="6"/>
        <v>420000</v>
      </c>
      <c r="G224" s="56">
        <v>7.0</v>
      </c>
      <c r="H224" s="59">
        <f t="shared" si="1"/>
        <v>420000</v>
      </c>
      <c r="I224" s="39"/>
      <c r="J224" s="39"/>
      <c r="K224" s="60">
        <f t="shared" si="2"/>
        <v>0</v>
      </c>
      <c r="L224" s="39"/>
      <c r="M224" s="59">
        <f t="shared" si="3"/>
        <v>0</v>
      </c>
      <c r="N224" s="69">
        <v>7.0</v>
      </c>
      <c r="O224" s="62">
        <f t="shared" si="4"/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4">
        <v>217.0</v>
      </c>
      <c r="C225" s="56" t="s">
        <v>265</v>
      </c>
      <c r="D225" s="67">
        <v>36000.0</v>
      </c>
      <c r="E225" s="56">
        <v>0.0</v>
      </c>
      <c r="F225" s="59">
        <f t="shared" si="6"/>
        <v>0</v>
      </c>
      <c r="G225" s="56">
        <v>0.0</v>
      </c>
      <c r="H225" s="59">
        <f t="shared" si="1"/>
        <v>0</v>
      </c>
      <c r="I225" s="39"/>
      <c r="J225" s="39"/>
      <c r="K225" s="60">
        <f t="shared" si="2"/>
        <v>0</v>
      </c>
      <c r="L225" s="39"/>
      <c r="M225" s="59">
        <f t="shared" si="3"/>
        <v>0</v>
      </c>
      <c r="N225" s="69">
        <v>0.0</v>
      </c>
      <c r="O225" s="62">
        <f t="shared" si="4"/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4">
        <v>218.0</v>
      </c>
      <c r="C226" s="56" t="s">
        <v>266</v>
      </c>
      <c r="D226" s="63">
        <f>16503/1.11</f>
        <v>14867.56757</v>
      </c>
      <c r="E226" s="56">
        <v>8.0</v>
      </c>
      <c r="F226" s="59">
        <f t="shared" si="6"/>
        <v>118940.5405</v>
      </c>
      <c r="G226" s="56">
        <v>15.0</v>
      </c>
      <c r="H226" s="59">
        <f t="shared" si="1"/>
        <v>223013.5135</v>
      </c>
      <c r="I226" s="39"/>
      <c r="J226" s="39"/>
      <c r="K226" s="60">
        <f t="shared" si="2"/>
        <v>0</v>
      </c>
      <c r="L226" s="56">
        <v>7.0</v>
      </c>
      <c r="M226" s="59">
        <f t="shared" si="3"/>
        <v>104072.973</v>
      </c>
      <c r="N226" s="69">
        <v>15.0</v>
      </c>
      <c r="O226" s="62">
        <f t="shared" si="4"/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4">
        <v>219.0</v>
      </c>
      <c r="C227" s="56" t="s">
        <v>267</v>
      </c>
      <c r="D227" s="67">
        <v>130000.0</v>
      </c>
      <c r="E227" s="56">
        <v>0.0</v>
      </c>
      <c r="F227" s="59">
        <f t="shared" si="6"/>
        <v>0</v>
      </c>
      <c r="G227" s="56">
        <v>2.0</v>
      </c>
      <c r="H227" s="59">
        <f t="shared" si="1"/>
        <v>260000</v>
      </c>
      <c r="I227" s="39"/>
      <c r="J227" s="39"/>
      <c r="K227" s="60">
        <f t="shared" si="2"/>
        <v>0</v>
      </c>
      <c r="L227" s="56">
        <v>2.0</v>
      </c>
      <c r="M227" s="59">
        <f t="shared" si="3"/>
        <v>260000</v>
      </c>
      <c r="N227" s="69">
        <v>2.0</v>
      </c>
      <c r="O227" s="62">
        <f t="shared" si="4"/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4">
        <v>220.0</v>
      </c>
      <c r="C228" s="56" t="s">
        <v>268</v>
      </c>
      <c r="D228" s="67">
        <v>425.0</v>
      </c>
      <c r="E228" s="56">
        <v>390.0</v>
      </c>
      <c r="F228" s="59">
        <f t="shared" si="6"/>
        <v>165750</v>
      </c>
      <c r="G228" s="56">
        <v>390.0</v>
      </c>
      <c r="H228" s="59">
        <f t="shared" si="1"/>
        <v>165750</v>
      </c>
      <c r="I228" s="39"/>
      <c r="J228" s="39"/>
      <c r="K228" s="60">
        <f t="shared" si="2"/>
        <v>0</v>
      </c>
      <c r="L228" s="39"/>
      <c r="M228" s="59">
        <f t="shared" si="3"/>
        <v>0</v>
      </c>
      <c r="N228" s="69">
        <v>390.0</v>
      </c>
      <c r="O228" s="62">
        <f t="shared" si="4"/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4">
        <v>221.0</v>
      </c>
      <c r="C229" s="56" t="s">
        <v>269</v>
      </c>
      <c r="D229" s="67">
        <v>97500.0</v>
      </c>
      <c r="E229" s="56">
        <v>1.0</v>
      </c>
      <c r="F229" s="59">
        <f t="shared" si="6"/>
        <v>97500</v>
      </c>
      <c r="G229" s="56">
        <v>1.0</v>
      </c>
      <c r="H229" s="59">
        <f t="shared" si="1"/>
        <v>97500</v>
      </c>
      <c r="I229" s="39"/>
      <c r="J229" s="39"/>
      <c r="K229" s="60">
        <f t="shared" si="2"/>
        <v>0</v>
      </c>
      <c r="L229" s="39"/>
      <c r="M229" s="59">
        <f t="shared" si="3"/>
        <v>0</v>
      </c>
      <c r="N229" s="69">
        <v>1.0</v>
      </c>
      <c r="O229" s="62">
        <f t="shared" si="4"/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4">
        <v>222.0</v>
      </c>
      <c r="C230" s="56" t="s">
        <v>270</v>
      </c>
      <c r="D230" s="70"/>
      <c r="E230" s="56">
        <v>0.0</v>
      </c>
      <c r="F230" s="59">
        <f t="shared" si="6"/>
        <v>0</v>
      </c>
      <c r="G230" s="56">
        <v>0.0</v>
      </c>
      <c r="H230" s="59">
        <f t="shared" si="1"/>
        <v>0</v>
      </c>
      <c r="I230" s="39"/>
      <c r="J230" s="39"/>
      <c r="K230" s="60">
        <f t="shared" si="2"/>
        <v>0</v>
      </c>
      <c r="L230" s="39"/>
      <c r="M230" s="59">
        <f t="shared" si="3"/>
        <v>0</v>
      </c>
      <c r="N230" s="69">
        <v>0.0</v>
      </c>
      <c r="O230" s="62">
        <f t="shared" si="4"/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4">
        <v>223.0</v>
      </c>
      <c r="C231" s="56" t="s">
        <v>271</v>
      </c>
      <c r="D231" s="67">
        <v>20000.0</v>
      </c>
      <c r="E231" s="56">
        <v>7.0</v>
      </c>
      <c r="F231" s="59">
        <f t="shared" si="6"/>
        <v>140000</v>
      </c>
      <c r="G231" s="56">
        <v>8.0</v>
      </c>
      <c r="H231" s="59">
        <f t="shared" si="1"/>
        <v>160000</v>
      </c>
      <c r="I231" s="39"/>
      <c r="J231" s="39"/>
      <c r="K231" s="60">
        <f t="shared" si="2"/>
        <v>0</v>
      </c>
      <c r="L231" s="56">
        <v>1.0</v>
      </c>
      <c r="M231" s="59">
        <f t="shared" si="3"/>
        <v>20000</v>
      </c>
      <c r="N231" s="69">
        <v>8.0</v>
      </c>
      <c r="O231" s="62">
        <f t="shared" si="4"/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4">
        <v>224.0</v>
      </c>
      <c r="C232" s="56" t="s">
        <v>272</v>
      </c>
      <c r="D232" s="63">
        <f>37400/1.11</f>
        <v>33693.69369</v>
      </c>
      <c r="E232" s="56">
        <v>2.0</v>
      </c>
      <c r="F232" s="59">
        <f t="shared" si="6"/>
        <v>67387.38739</v>
      </c>
      <c r="G232" s="56">
        <v>2.0</v>
      </c>
      <c r="H232" s="59">
        <f t="shared" si="1"/>
        <v>67387.38739</v>
      </c>
      <c r="I232" s="39"/>
      <c r="J232" s="39"/>
      <c r="K232" s="60">
        <f t="shared" si="2"/>
        <v>0</v>
      </c>
      <c r="L232" s="39"/>
      <c r="M232" s="59">
        <f t="shared" si="3"/>
        <v>0</v>
      </c>
      <c r="N232" s="69">
        <v>2.0</v>
      </c>
      <c r="O232" s="62">
        <f t="shared" si="4"/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4">
        <v>225.0</v>
      </c>
      <c r="C233" s="56" t="s">
        <v>273</v>
      </c>
      <c r="D233" s="67">
        <v>1000.0</v>
      </c>
      <c r="E233" s="56">
        <v>0.0</v>
      </c>
      <c r="F233" s="59">
        <f t="shared" si="6"/>
        <v>0</v>
      </c>
      <c r="G233" s="56">
        <v>0.0</v>
      </c>
      <c r="H233" s="59">
        <f t="shared" si="1"/>
        <v>0</v>
      </c>
      <c r="I233" s="39"/>
      <c r="J233" s="39"/>
      <c r="K233" s="60">
        <f t="shared" si="2"/>
        <v>0</v>
      </c>
      <c r="L233" s="39"/>
      <c r="M233" s="59">
        <f t="shared" si="3"/>
        <v>0</v>
      </c>
      <c r="N233" s="69">
        <v>0.0</v>
      </c>
      <c r="O233" s="62">
        <f t="shared" si="4"/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4">
        <v>226.0</v>
      </c>
      <c r="C234" s="56" t="s">
        <v>274</v>
      </c>
      <c r="D234" s="67">
        <v>125000.0</v>
      </c>
      <c r="E234" s="56">
        <v>1.0</v>
      </c>
      <c r="F234" s="59">
        <f t="shared" si="6"/>
        <v>125000</v>
      </c>
      <c r="G234" s="56">
        <v>1.0</v>
      </c>
      <c r="H234" s="59">
        <f t="shared" si="1"/>
        <v>125000</v>
      </c>
      <c r="I234" s="39"/>
      <c r="J234" s="39"/>
      <c r="K234" s="60">
        <f t="shared" si="2"/>
        <v>0</v>
      </c>
      <c r="L234" s="39"/>
      <c r="M234" s="59">
        <f t="shared" si="3"/>
        <v>0</v>
      </c>
      <c r="N234" s="69">
        <v>1.0</v>
      </c>
      <c r="O234" s="62">
        <f t="shared" si="4"/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4">
        <v>227.0</v>
      </c>
      <c r="C235" s="56" t="s">
        <v>275</v>
      </c>
      <c r="D235" s="63">
        <v>177970.0</v>
      </c>
      <c r="E235" s="56">
        <v>20.0</v>
      </c>
      <c r="F235" s="59">
        <f t="shared" si="6"/>
        <v>3559400</v>
      </c>
      <c r="G235" s="56">
        <v>20.0</v>
      </c>
      <c r="H235" s="59">
        <f t="shared" si="1"/>
        <v>3559400</v>
      </c>
      <c r="I235" s="39"/>
      <c r="J235" s="39"/>
      <c r="K235" s="60">
        <f t="shared" si="2"/>
        <v>0</v>
      </c>
      <c r="L235" s="39"/>
      <c r="M235" s="59">
        <f t="shared" si="3"/>
        <v>0</v>
      </c>
      <c r="N235" s="69">
        <v>20.0</v>
      </c>
      <c r="O235" s="62">
        <f t="shared" si="4"/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4">
        <v>228.0</v>
      </c>
      <c r="C236" s="56" t="s">
        <v>276</v>
      </c>
      <c r="D236" s="67">
        <v>10000.0</v>
      </c>
      <c r="E236" s="56">
        <v>1.0</v>
      </c>
      <c r="F236" s="59">
        <f t="shared" si="6"/>
        <v>10000</v>
      </c>
      <c r="G236" s="56">
        <v>1.0</v>
      </c>
      <c r="H236" s="59">
        <f t="shared" si="1"/>
        <v>10000</v>
      </c>
      <c r="I236" s="39"/>
      <c r="J236" s="39"/>
      <c r="K236" s="60">
        <f t="shared" si="2"/>
        <v>0</v>
      </c>
      <c r="L236" s="39"/>
      <c r="M236" s="59">
        <f t="shared" si="3"/>
        <v>0</v>
      </c>
      <c r="N236" s="69">
        <v>1.0</v>
      </c>
      <c r="O236" s="62">
        <f t="shared" si="4"/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4">
        <v>229.0</v>
      </c>
      <c r="C237" s="56" t="s">
        <v>277</v>
      </c>
      <c r="D237" s="67">
        <v>10000.0</v>
      </c>
      <c r="E237" s="56">
        <v>16.0</v>
      </c>
      <c r="F237" s="59">
        <f t="shared" si="6"/>
        <v>160000</v>
      </c>
      <c r="G237" s="56">
        <v>16.0</v>
      </c>
      <c r="H237" s="59">
        <f t="shared" si="1"/>
        <v>160000</v>
      </c>
      <c r="I237" s="39"/>
      <c r="J237" s="39"/>
      <c r="K237" s="60">
        <f t="shared" si="2"/>
        <v>0</v>
      </c>
      <c r="L237" s="39"/>
      <c r="M237" s="59">
        <f t="shared" si="3"/>
        <v>0</v>
      </c>
      <c r="N237" s="69">
        <v>16.0</v>
      </c>
      <c r="O237" s="62">
        <f t="shared" si="4"/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4">
        <v>230.0</v>
      </c>
      <c r="C238" s="56" t="s">
        <v>278</v>
      </c>
      <c r="D238" s="67">
        <v>39000.0</v>
      </c>
      <c r="E238" s="56">
        <v>12.0</v>
      </c>
      <c r="F238" s="59">
        <f t="shared" si="6"/>
        <v>468000</v>
      </c>
      <c r="G238" s="56">
        <v>12.0</v>
      </c>
      <c r="H238" s="59">
        <f t="shared" si="1"/>
        <v>468000</v>
      </c>
      <c r="I238" s="39"/>
      <c r="J238" s="39"/>
      <c r="K238" s="60">
        <f t="shared" si="2"/>
        <v>0</v>
      </c>
      <c r="L238" s="39"/>
      <c r="M238" s="59">
        <f t="shared" si="3"/>
        <v>0</v>
      </c>
      <c r="N238" s="69">
        <v>12.0</v>
      </c>
      <c r="O238" s="62">
        <f t="shared" si="4"/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4">
        <v>231.0</v>
      </c>
      <c r="C239" s="56" t="s">
        <v>279</v>
      </c>
      <c r="D239" s="63">
        <f>110195.63/1.11</f>
        <v>99275.34234</v>
      </c>
      <c r="E239" s="56">
        <v>22.0</v>
      </c>
      <c r="F239" s="59">
        <f t="shared" si="6"/>
        <v>2184057.532</v>
      </c>
      <c r="G239" s="56">
        <v>22.0</v>
      </c>
      <c r="H239" s="59">
        <f t="shared" si="1"/>
        <v>2184057.532</v>
      </c>
      <c r="I239" s="39"/>
      <c r="J239" s="39"/>
      <c r="K239" s="60">
        <f t="shared" si="2"/>
        <v>0</v>
      </c>
      <c r="L239" s="39"/>
      <c r="M239" s="59">
        <f t="shared" si="3"/>
        <v>0</v>
      </c>
      <c r="N239" s="69">
        <v>22.0</v>
      </c>
      <c r="O239" s="62">
        <f t="shared" si="4"/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4">
        <v>232.0</v>
      </c>
      <c r="C240" s="56" t="s">
        <v>280</v>
      </c>
      <c r="D240" s="63">
        <f>38222.22/1.11</f>
        <v>34434.43243</v>
      </c>
      <c r="E240" s="56">
        <v>20.0</v>
      </c>
      <c r="F240" s="59">
        <f t="shared" si="6"/>
        <v>688688.6486</v>
      </c>
      <c r="G240" s="56">
        <v>20.0</v>
      </c>
      <c r="H240" s="59">
        <f t="shared" si="1"/>
        <v>688688.6486</v>
      </c>
      <c r="I240" s="39"/>
      <c r="J240" s="39"/>
      <c r="K240" s="60">
        <f t="shared" si="2"/>
        <v>0</v>
      </c>
      <c r="L240" s="39"/>
      <c r="M240" s="59">
        <f t="shared" si="3"/>
        <v>0</v>
      </c>
      <c r="N240" s="69">
        <v>20.0</v>
      </c>
      <c r="O240" s="62">
        <f t="shared" si="4"/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4">
        <v>233.0</v>
      </c>
      <c r="C241" s="56" t="s">
        <v>281</v>
      </c>
      <c r="D241" s="63">
        <f>23555.56/1.11</f>
        <v>21221.22523</v>
      </c>
      <c r="E241" s="56">
        <v>20.0</v>
      </c>
      <c r="F241" s="59">
        <f t="shared" si="6"/>
        <v>424424.5045</v>
      </c>
      <c r="G241" s="56">
        <v>20.0</v>
      </c>
      <c r="H241" s="59">
        <f t="shared" si="1"/>
        <v>424424.5045</v>
      </c>
      <c r="I241" s="39"/>
      <c r="J241" s="39"/>
      <c r="K241" s="60">
        <f t="shared" si="2"/>
        <v>0</v>
      </c>
      <c r="L241" s="39"/>
      <c r="M241" s="59">
        <f t="shared" si="3"/>
        <v>0</v>
      </c>
      <c r="N241" s="69">
        <v>20.0</v>
      </c>
      <c r="O241" s="62">
        <f t="shared" si="4"/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4">
        <v>234.0</v>
      </c>
      <c r="C242" s="56" t="s">
        <v>282</v>
      </c>
      <c r="D242" s="70"/>
      <c r="E242" s="56">
        <v>0.0</v>
      </c>
      <c r="F242" s="59">
        <f t="shared" si="6"/>
        <v>0</v>
      </c>
      <c r="G242" s="56">
        <v>0.0</v>
      </c>
      <c r="H242" s="59">
        <f t="shared" si="1"/>
        <v>0</v>
      </c>
      <c r="I242" s="39"/>
      <c r="J242" s="39"/>
      <c r="K242" s="60">
        <f t="shared" si="2"/>
        <v>0</v>
      </c>
      <c r="L242" s="39"/>
      <c r="M242" s="59">
        <f t="shared" si="3"/>
        <v>0</v>
      </c>
      <c r="N242" s="69">
        <v>0.0</v>
      </c>
      <c r="O242" s="62">
        <f t="shared" si="4"/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4">
        <v>235.0</v>
      </c>
      <c r="C243" s="56" t="s">
        <v>283</v>
      </c>
      <c r="D243" s="63">
        <f>14500/1.11</f>
        <v>13063.06306</v>
      </c>
      <c r="E243" s="56">
        <v>46.0</v>
      </c>
      <c r="F243" s="59">
        <f t="shared" si="6"/>
        <v>600900.9009</v>
      </c>
      <c r="G243" s="56">
        <v>46.0</v>
      </c>
      <c r="H243" s="59">
        <f t="shared" si="1"/>
        <v>600900.9009</v>
      </c>
      <c r="I243" s="39"/>
      <c r="J243" s="39"/>
      <c r="K243" s="60">
        <f t="shared" si="2"/>
        <v>0</v>
      </c>
      <c r="L243" s="39"/>
      <c r="M243" s="59">
        <f t="shared" si="3"/>
        <v>0</v>
      </c>
      <c r="N243" s="69">
        <v>46.0</v>
      </c>
      <c r="O243" s="62">
        <f t="shared" si="4"/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4">
        <v>236.0</v>
      </c>
      <c r="C244" s="56" t="s">
        <v>284</v>
      </c>
      <c r="D244" s="63">
        <f>32750/1.11</f>
        <v>29504.5045</v>
      </c>
      <c r="E244" s="56">
        <v>6.0</v>
      </c>
      <c r="F244" s="59">
        <f t="shared" si="6"/>
        <v>177027.027</v>
      </c>
      <c r="G244" s="56">
        <v>6.0</v>
      </c>
      <c r="H244" s="59">
        <f t="shared" si="1"/>
        <v>177027.027</v>
      </c>
      <c r="I244" s="39"/>
      <c r="J244" s="39"/>
      <c r="K244" s="60">
        <f t="shared" si="2"/>
        <v>0</v>
      </c>
      <c r="L244" s="39"/>
      <c r="M244" s="59">
        <f t="shared" si="3"/>
        <v>0</v>
      </c>
      <c r="N244" s="69">
        <v>6.0</v>
      </c>
      <c r="O244" s="62">
        <f t="shared" si="4"/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4">
        <v>237.0</v>
      </c>
      <c r="C245" s="56" t="s">
        <v>285</v>
      </c>
      <c r="D245" s="72">
        <v>29000.0</v>
      </c>
      <c r="E245" s="56">
        <v>2.0</v>
      </c>
      <c r="F245" s="59">
        <f t="shared" si="6"/>
        <v>58000</v>
      </c>
      <c r="G245" s="56">
        <v>2.0</v>
      </c>
      <c r="H245" s="59">
        <f t="shared" si="1"/>
        <v>58000</v>
      </c>
      <c r="I245" s="39"/>
      <c r="J245" s="39"/>
      <c r="K245" s="60">
        <f t="shared" si="2"/>
        <v>0</v>
      </c>
      <c r="L245" s="39"/>
      <c r="M245" s="59">
        <f t="shared" si="3"/>
        <v>0</v>
      </c>
      <c r="N245" s="69">
        <v>2.0</v>
      </c>
      <c r="O245" s="62">
        <f t="shared" si="4"/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4">
        <v>238.0</v>
      </c>
      <c r="C246" s="56" t="s">
        <v>286</v>
      </c>
      <c r="D246" s="70"/>
      <c r="E246" s="56">
        <v>4.0</v>
      </c>
      <c r="F246" s="59">
        <f t="shared" si="6"/>
        <v>0</v>
      </c>
      <c r="G246" s="56">
        <v>4.0</v>
      </c>
      <c r="H246" s="59">
        <f t="shared" si="1"/>
        <v>0</v>
      </c>
      <c r="I246" s="39"/>
      <c r="J246" s="39"/>
      <c r="K246" s="60">
        <f t="shared" si="2"/>
        <v>0</v>
      </c>
      <c r="L246" s="39"/>
      <c r="M246" s="59">
        <f t="shared" si="3"/>
        <v>0</v>
      </c>
      <c r="N246" s="69">
        <v>4.0</v>
      </c>
      <c r="O246" s="62">
        <f t="shared" si="4"/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4">
        <v>239.0</v>
      </c>
      <c r="C247" s="56" t="s">
        <v>287</v>
      </c>
      <c r="D247" s="67">
        <v>42500.0</v>
      </c>
      <c r="E247" s="56">
        <v>6.0</v>
      </c>
      <c r="F247" s="59">
        <f t="shared" si="6"/>
        <v>255000</v>
      </c>
      <c r="G247" s="56">
        <v>6.0</v>
      </c>
      <c r="H247" s="59">
        <f t="shared" si="1"/>
        <v>255000</v>
      </c>
      <c r="I247" s="39"/>
      <c r="J247" s="39"/>
      <c r="K247" s="60">
        <f t="shared" si="2"/>
        <v>0</v>
      </c>
      <c r="L247" s="39"/>
      <c r="M247" s="59">
        <f t="shared" si="3"/>
        <v>0</v>
      </c>
      <c r="N247" s="69">
        <v>6.0</v>
      </c>
      <c r="O247" s="62">
        <f t="shared" si="4"/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4">
        <v>240.0</v>
      </c>
      <c r="C248" s="56" t="s">
        <v>288</v>
      </c>
      <c r="D248" s="63">
        <f>954000/1.11</f>
        <v>859459.4595</v>
      </c>
      <c r="E248" s="56">
        <v>12.0</v>
      </c>
      <c r="F248" s="59">
        <f t="shared" si="6"/>
        <v>10313513.51</v>
      </c>
      <c r="G248" s="56">
        <v>12.0</v>
      </c>
      <c r="H248" s="59">
        <f t="shared" si="1"/>
        <v>10313513.51</v>
      </c>
      <c r="I248" s="39"/>
      <c r="J248" s="39"/>
      <c r="K248" s="60">
        <f t="shared" si="2"/>
        <v>0</v>
      </c>
      <c r="L248" s="39"/>
      <c r="M248" s="59">
        <f t="shared" si="3"/>
        <v>0</v>
      </c>
      <c r="N248" s="69">
        <v>12.0</v>
      </c>
      <c r="O248" s="62">
        <f t="shared" si="4"/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4">
        <v>241.0</v>
      </c>
      <c r="C249" s="56" t="s">
        <v>289</v>
      </c>
      <c r="D249" s="63">
        <f>1385600/1.11</f>
        <v>1248288.288</v>
      </c>
      <c r="E249" s="56">
        <v>0.0</v>
      </c>
      <c r="F249" s="59">
        <f t="shared" si="6"/>
        <v>0</v>
      </c>
      <c r="G249" s="56">
        <v>2.0</v>
      </c>
      <c r="H249" s="59">
        <f t="shared" si="1"/>
        <v>2496576.577</v>
      </c>
      <c r="I249" s="39"/>
      <c r="J249" s="39"/>
      <c r="K249" s="60">
        <f t="shared" si="2"/>
        <v>0</v>
      </c>
      <c r="L249" s="56">
        <v>2.0</v>
      </c>
      <c r="M249" s="59">
        <f t="shared" si="3"/>
        <v>2496576.577</v>
      </c>
      <c r="N249" s="69">
        <v>2.0</v>
      </c>
      <c r="O249" s="62">
        <f t="shared" si="4"/>
        <v>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4">
        <v>242.0</v>
      </c>
      <c r="C250" s="56" t="s">
        <v>290</v>
      </c>
      <c r="D250" s="67">
        <v>29504.5</v>
      </c>
      <c r="E250" s="56">
        <v>17.0</v>
      </c>
      <c r="F250" s="59">
        <f t="shared" si="6"/>
        <v>501576.5</v>
      </c>
      <c r="G250" s="56">
        <v>17.0</v>
      </c>
      <c r="H250" s="59">
        <f t="shared" si="1"/>
        <v>501576.5</v>
      </c>
      <c r="I250" s="39"/>
      <c r="J250" s="39"/>
      <c r="K250" s="60">
        <f t="shared" si="2"/>
        <v>0</v>
      </c>
      <c r="L250" s="39"/>
      <c r="M250" s="59">
        <f t="shared" si="3"/>
        <v>0</v>
      </c>
      <c r="N250" s="69">
        <v>17.0</v>
      </c>
      <c r="O250" s="62">
        <f t="shared" si="4"/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4">
        <v>243.0</v>
      </c>
      <c r="C251" s="56" t="s">
        <v>291</v>
      </c>
      <c r="D251" s="70"/>
      <c r="E251" s="56">
        <v>0.0</v>
      </c>
      <c r="F251" s="59">
        <f t="shared" si="6"/>
        <v>0</v>
      </c>
      <c r="G251" s="56">
        <v>0.0</v>
      </c>
      <c r="H251" s="59">
        <f t="shared" si="1"/>
        <v>0</v>
      </c>
      <c r="I251" s="39"/>
      <c r="J251" s="39"/>
      <c r="K251" s="60">
        <f t="shared" si="2"/>
        <v>0</v>
      </c>
      <c r="L251" s="39"/>
      <c r="M251" s="59">
        <f t="shared" si="3"/>
        <v>0</v>
      </c>
      <c r="N251" s="69">
        <v>0.0</v>
      </c>
      <c r="O251" s="62">
        <f t="shared" si="4"/>
        <v>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4">
        <v>244.0</v>
      </c>
      <c r="C252" s="56" t="s">
        <v>292</v>
      </c>
      <c r="D252" s="67">
        <v>12000.0</v>
      </c>
      <c r="E252" s="56">
        <v>20.0</v>
      </c>
      <c r="F252" s="59">
        <f t="shared" si="6"/>
        <v>240000</v>
      </c>
      <c r="G252" s="56">
        <v>20.0</v>
      </c>
      <c r="H252" s="59">
        <f t="shared" si="1"/>
        <v>240000</v>
      </c>
      <c r="I252" s="39"/>
      <c r="J252" s="39"/>
      <c r="K252" s="60">
        <f t="shared" si="2"/>
        <v>0</v>
      </c>
      <c r="L252" s="39"/>
      <c r="M252" s="59">
        <f t="shared" si="3"/>
        <v>0</v>
      </c>
      <c r="N252" s="69">
        <v>20.0</v>
      </c>
      <c r="O252" s="62">
        <f t="shared" si="4"/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4">
        <v>245.0</v>
      </c>
      <c r="C253" s="56" t="s">
        <v>293</v>
      </c>
      <c r="D253" s="67">
        <v>363300.0</v>
      </c>
      <c r="E253" s="56">
        <v>1.0</v>
      </c>
      <c r="F253" s="59">
        <f t="shared" si="6"/>
        <v>363300</v>
      </c>
      <c r="G253" s="56">
        <v>1.0</v>
      </c>
      <c r="H253" s="59">
        <f t="shared" si="1"/>
        <v>363300</v>
      </c>
      <c r="I253" s="39"/>
      <c r="J253" s="39"/>
      <c r="K253" s="60">
        <f t="shared" si="2"/>
        <v>0</v>
      </c>
      <c r="L253" s="39"/>
      <c r="M253" s="59">
        <f t="shared" si="3"/>
        <v>0</v>
      </c>
      <c r="N253" s="69">
        <v>1.0</v>
      </c>
      <c r="O253" s="62">
        <f t="shared" si="4"/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4">
        <v>246.0</v>
      </c>
      <c r="C254" s="56" t="s">
        <v>294</v>
      </c>
      <c r="D254" s="67">
        <v>340200.0</v>
      </c>
      <c r="E254" s="56">
        <v>13.0</v>
      </c>
      <c r="F254" s="59">
        <f t="shared" si="6"/>
        <v>4422600</v>
      </c>
      <c r="G254" s="56">
        <v>13.0</v>
      </c>
      <c r="H254" s="59">
        <f t="shared" si="1"/>
        <v>4422600</v>
      </c>
      <c r="I254" s="39"/>
      <c r="J254" s="39"/>
      <c r="K254" s="60">
        <f t="shared" si="2"/>
        <v>0</v>
      </c>
      <c r="L254" s="39"/>
      <c r="M254" s="59">
        <f t="shared" si="3"/>
        <v>0</v>
      </c>
      <c r="N254" s="69">
        <v>13.0</v>
      </c>
      <c r="O254" s="62">
        <f t="shared" si="4"/>
        <v>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4">
        <v>247.0</v>
      </c>
      <c r="C255" s="56" t="s">
        <v>295</v>
      </c>
      <c r="D255" s="67">
        <v>317100.0</v>
      </c>
      <c r="E255" s="56">
        <v>12.0</v>
      </c>
      <c r="F255" s="59">
        <f t="shared" si="6"/>
        <v>3805200</v>
      </c>
      <c r="G255" s="56">
        <v>12.0</v>
      </c>
      <c r="H255" s="59">
        <f t="shared" si="1"/>
        <v>3805200</v>
      </c>
      <c r="I255" s="39"/>
      <c r="J255" s="39"/>
      <c r="K255" s="60">
        <f t="shared" si="2"/>
        <v>0</v>
      </c>
      <c r="L255" s="39"/>
      <c r="M255" s="59">
        <f t="shared" si="3"/>
        <v>0</v>
      </c>
      <c r="N255" s="69">
        <v>12.0</v>
      </c>
      <c r="O255" s="62">
        <f t="shared" si="4"/>
        <v>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4">
        <v>248.0</v>
      </c>
      <c r="C256" s="56" t="s">
        <v>296</v>
      </c>
      <c r="D256" s="67">
        <v>236600.0</v>
      </c>
      <c r="E256" s="56">
        <v>0.0</v>
      </c>
      <c r="F256" s="59">
        <f t="shared" si="6"/>
        <v>0</v>
      </c>
      <c r="G256" s="56">
        <v>0.0</v>
      </c>
      <c r="H256" s="59">
        <f t="shared" si="1"/>
        <v>0</v>
      </c>
      <c r="I256" s="39"/>
      <c r="J256" s="39"/>
      <c r="K256" s="60">
        <f t="shared" si="2"/>
        <v>0</v>
      </c>
      <c r="L256" s="39"/>
      <c r="M256" s="59">
        <f t="shared" si="3"/>
        <v>0</v>
      </c>
      <c r="N256" s="69">
        <v>0.0</v>
      </c>
      <c r="O256" s="62">
        <f t="shared" si="4"/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4">
        <v>249.0</v>
      </c>
      <c r="C257" s="56" t="s">
        <v>297</v>
      </c>
      <c r="D257" s="67">
        <v>55300.0</v>
      </c>
      <c r="E257" s="56">
        <v>150.0</v>
      </c>
      <c r="F257" s="59">
        <f t="shared" si="6"/>
        <v>8295000</v>
      </c>
      <c r="G257" s="56">
        <v>150.0</v>
      </c>
      <c r="H257" s="59">
        <f t="shared" si="1"/>
        <v>8295000</v>
      </c>
      <c r="I257" s="39"/>
      <c r="J257" s="39"/>
      <c r="K257" s="60">
        <f t="shared" si="2"/>
        <v>0</v>
      </c>
      <c r="L257" s="39"/>
      <c r="M257" s="59">
        <f t="shared" si="3"/>
        <v>0</v>
      </c>
      <c r="N257" s="69">
        <v>150.0</v>
      </c>
      <c r="O257" s="62">
        <f t="shared" si="4"/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4">
        <v>250.0</v>
      </c>
      <c r="C258" s="56" t="s">
        <v>298</v>
      </c>
      <c r="D258" s="67">
        <f>75000/1.11</f>
        <v>67567.56757</v>
      </c>
      <c r="E258" s="56">
        <v>0.0</v>
      </c>
      <c r="F258" s="59">
        <f t="shared" si="6"/>
        <v>0</v>
      </c>
      <c r="G258" s="56">
        <v>0.0</v>
      </c>
      <c r="H258" s="59">
        <f t="shared" si="1"/>
        <v>0</v>
      </c>
      <c r="I258" s="39"/>
      <c r="J258" s="39"/>
      <c r="K258" s="60">
        <f t="shared" si="2"/>
        <v>0</v>
      </c>
      <c r="L258" s="39"/>
      <c r="M258" s="59">
        <f t="shared" si="3"/>
        <v>0</v>
      </c>
      <c r="N258" s="69">
        <v>0.0</v>
      </c>
      <c r="O258" s="62">
        <f t="shared" si="4"/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4">
        <v>251.0</v>
      </c>
      <c r="C259" s="56" t="s">
        <v>299</v>
      </c>
      <c r="D259" s="67">
        <v>568369.37</v>
      </c>
      <c r="E259" s="56">
        <v>0.0</v>
      </c>
      <c r="F259" s="59">
        <f t="shared" si="6"/>
        <v>0</v>
      </c>
      <c r="G259" s="56">
        <v>0.0</v>
      </c>
      <c r="H259" s="59">
        <f t="shared" si="1"/>
        <v>0</v>
      </c>
      <c r="I259" s="39"/>
      <c r="J259" s="39"/>
      <c r="K259" s="60">
        <f t="shared" si="2"/>
        <v>0</v>
      </c>
      <c r="L259" s="39"/>
      <c r="M259" s="59">
        <f t="shared" si="3"/>
        <v>0</v>
      </c>
      <c r="N259" s="69">
        <v>0.0</v>
      </c>
      <c r="O259" s="62">
        <f t="shared" si="4"/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4">
        <v>252.0</v>
      </c>
      <c r="C260" s="56" t="s">
        <v>300</v>
      </c>
      <c r="D260" s="70"/>
      <c r="E260" s="56">
        <v>0.0</v>
      </c>
      <c r="F260" s="59">
        <f t="shared" si="6"/>
        <v>0</v>
      </c>
      <c r="G260" s="56">
        <v>0.0</v>
      </c>
      <c r="H260" s="59">
        <f t="shared" si="1"/>
        <v>0</v>
      </c>
      <c r="I260" s="39"/>
      <c r="J260" s="39"/>
      <c r="K260" s="60">
        <f t="shared" si="2"/>
        <v>0</v>
      </c>
      <c r="L260" s="39"/>
      <c r="M260" s="59">
        <f t="shared" si="3"/>
        <v>0</v>
      </c>
      <c r="N260" s="69">
        <v>0.0</v>
      </c>
      <c r="O260" s="62">
        <f t="shared" si="4"/>
        <v>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4">
        <v>253.0</v>
      </c>
      <c r="C261" s="56" t="s">
        <v>301</v>
      </c>
      <c r="D261" s="70"/>
      <c r="E261" s="56">
        <v>0.0</v>
      </c>
      <c r="F261" s="59">
        <f t="shared" si="6"/>
        <v>0</v>
      </c>
      <c r="G261" s="56">
        <v>0.0</v>
      </c>
      <c r="H261" s="59">
        <f t="shared" si="1"/>
        <v>0</v>
      </c>
      <c r="I261" s="39"/>
      <c r="J261" s="39"/>
      <c r="K261" s="60">
        <f t="shared" si="2"/>
        <v>0</v>
      </c>
      <c r="L261" s="39"/>
      <c r="M261" s="59">
        <f t="shared" si="3"/>
        <v>0</v>
      </c>
      <c r="N261" s="69">
        <v>0.0</v>
      </c>
      <c r="O261" s="62">
        <f t="shared" si="4"/>
        <v>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4">
        <v>254.0</v>
      </c>
      <c r="C262" s="56" t="s">
        <v>302</v>
      </c>
      <c r="D262" s="67">
        <v>42500.0</v>
      </c>
      <c r="E262" s="56">
        <v>7.0</v>
      </c>
      <c r="F262" s="59">
        <f t="shared" si="6"/>
        <v>297500</v>
      </c>
      <c r="G262" s="56">
        <v>7.0</v>
      </c>
      <c r="H262" s="59">
        <f t="shared" si="1"/>
        <v>297500</v>
      </c>
      <c r="I262" s="39"/>
      <c r="J262" s="39"/>
      <c r="K262" s="60">
        <f t="shared" si="2"/>
        <v>0</v>
      </c>
      <c r="L262" s="39"/>
      <c r="M262" s="59">
        <f t="shared" si="3"/>
        <v>0</v>
      </c>
      <c r="N262" s="69">
        <v>7.0</v>
      </c>
      <c r="O262" s="62">
        <f t="shared" si="4"/>
        <v>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4">
        <v>255.0</v>
      </c>
      <c r="C263" s="56" t="s">
        <v>303</v>
      </c>
      <c r="D263" s="67">
        <v>42500.0</v>
      </c>
      <c r="E263" s="56">
        <v>4.0</v>
      </c>
      <c r="F263" s="59">
        <f t="shared" si="6"/>
        <v>170000</v>
      </c>
      <c r="G263" s="56">
        <v>4.0</v>
      </c>
      <c r="H263" s="59">
        <f t="shared" si="1"/>
        <v>170000</v>
      </c>
      <c r="I263" s="39"/>
      <c r="J263" s="39"/>
      <c r="K263" s="60">
        <f t="shared" si="2"/>
        <v>0</v>
      </c>
      <c r="L263" s="39"/>
      <c r="M263" s="59">
        <f t="shared" si="3"/>
        <v>0</v>
      </c>
      <c r="N263" s="69">
        <v>4.0</v>
      </c>
      <c r="O263" s="62">
        <f t="shared" si="4"/>
        <v>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4">
        <v>256.0</v>
      </c>
      <c r="C264" s="56" t="s">
        <v>304</v>
      </c>
      <c r="D264" s="67">
        <v>7000.0</v>
      </c>
      <c r="E264" s="56">
        <v>20.0</v>
      </c>
      <c r="F264" s="59">
        <f t="shared" si="6"/>
        <v>140000</v>
      </c>
      <c r="G264" s="56">
        <v>20.0</v>
      </c>
      <c r="H264" s="59">
        <f t="shared" si="1"/>
        <v>140000</v>
      </c>
      <c r="I264" s="39"/>
      <c r="J264" s="39"/>
      <c r="K264" s="60">
        <f t="shared" si="2"/>
        <v>0</v>
      </c>
      <c r="L264" s="39"/>
      <c r="M264" s="59">
        <f t="shared" si="3"/>
        <v>0</v>
      </c>
      <c r="N264" s="69">
        <v>20.0</v>
      </c>
      <c r="O264" s="62">
        <f t="shared" si="4"/>
        <v>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4">
        <v>257.0</v>
      </c>
      <c r="C265" s="56" t="s">
        <v>305</v>
      </c>
      <c r="D265" s="67">
        <v>104700.0</v>
      </c>
      <c r="E265" s="56">
        <v>13.0</v>
      </c>
      <c r="F265" s="59">
        <f t="shared" si="6"/>
        <v>1361100</v>
      </c>
      <c r="G265" s="56">
        <v>13.0</v>
      </c>
      <c r="H265" s="59">
        <f t="shared" si="1"/>
        <v>1361100</v>
      </c>
      <c r="I265" s="39"/>
      <c r="J265" s="39"/>
      <c r="K265" s="60">
        <f t="shared" si="2"/>
        <v>0</v>
      </c>
      <c r="L265" s="39"/>
      <c r="M265" s="59">
        <f t="shared" si="3"/>
        <v>0</v>
      </c>
      <c r="N265" s="69">
        <v>13.0</v>
      </c>
      <c r="O265" s="62">
        <f t="shared" si="4"/>
        <v>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4">
        <v>258.0</v>
      </c>
      <c r="C266" s="56" t="s">
        <v>306</v>
      </c>
      <c r="D266" s="70"/>
      <c r="E266" s="56">
        <v>0.0</v>
      </c>
      <c r="F266" s="59">
        <f t="shared" si="6"/>
        <v>0</v>
      </c>
      <c r="G266" s="56">
        <v>0.0</v>
      </c>
      <c r="H266" s="59">
        <f t="shared" si="1"/>
        <v>0</v>
      </c>
      <c r="I266" s="39"/>
      <c r="J266" s="39"/>
      <c r="K266" s="60">
        <f t="shared" si="2"/>
        <v>0</v>
      </c>
      <c r="L266" s="39"/>
      <c r="M266" s="59">
        <f t="shared" si="3"/>
        <v>0</v>
      </c>
      <c r="N266" s="69">
        <v>0.0</v>
      </c>
      <c r="O266" s="62">
        <f t="shared" si="4"/>
        <v>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4">
        <v>259.0</v>
      </c>
      <c r="C267" s="56" t="s">
        <v>307</v>
      </c>
      <c r="D267" s="67">
        <v>27500.0</v>
      </c>
      <c r="E267" s="56">
        <v>1.0</v>
      </c>
      <c r="F267" s="59">
        <f t="shared" si="6"/>
        <v>27500</v>
      </c>
      <c r="G267" s="56">
        <v>1.0</v>
      </c>
      <c r="H267" s="59">
        <f t="shared" si="1"/>
        <v>27500</v>
      </c>
      <c r="I267" s="39"/>
      <c r="J267" s="39"/>
      <c r="K267" s="60">
        <f t="shared" si="2"/>
        <v>0</v>
      </c>
      <c r="L267" s="39"/>
      <c r="M267" s="59">
        <f t="shared" si="3"/>
        <v>0</v>
      </c>
      <c r="N267" s="69">
        <v>1.0</v>
      </c>
      <c r="O267" s="62">
        <f t="shared" si="4"/>
        <v>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4">
        <v>260.0</v>
      </c>
      <c r="C268" s="56" t="s">
        <v>308</v>
      </c>
      <c r="D268" s="67">
        <v>30000.0</v>
      </c>
      <c r="E268" s="56">
        <v>2.0</v>
      </c>
      <c r="F268" s="59">
        <f t="shared" si="6"/>
        <v>60000</v>
      </c>
      <c r="G268" s="56">
        <v>2.0</v>
      </c>
      <c r="H268" s="59">
        <f t="shared" si="1"/>
        <v>60000</v>
      </c>
      <c r="I268" s="39"/>
      <c r="J268" s="39"/>
      <c r="K268" s="60">
        <f t="shared" si="2"/>
        <v>0</v>
      </c>
      <c r="L268" s="39"/>
      <c r="M268" s="59">
        <f t="shared" si="3"/>
        <v>0</v>
      </c>
      <c r="N268" s="69">
        <v>2.0</v>
      </c>
      <c r="O268" s="62">
        <f t="shared" si="4"/>
        <v>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4">
        <v>261.0</v>
      </c>
      <c r="C269" s="56" t="s">
        <v>309</v>
      </c>
      <c r="D269" s="67">
        <v>126193.0</v>
      </c>
      <c r="E269" s="56">
        <v>3.0</v>
      </c>
      <c r="F269" s="59">
        <f t="shared" si="6"/>
        <v>378579</v>
      </c>
      <c r="G269" s="56">
        <v>4.0</v>
      </c>
      <c r="H269" s="59">
        <f t="shared" si="1"/>
        <v>504772</v>
      </c>
      <c r="I269" s="39"/>
      <c r="J269" s="39"/>
      <c r="K269" s="60">
        <f t="shared" si="2"/>
        <v>0</v>
      </c>
      <c r="L269" s="56">
        <v>1.0</v>
      </c>
      <c r="M269" s="59">
        <f t="shared" si="3"/>
        <v>126193</v>
      </c>
      <c r="N269" s="69">
        <v>4.0</v>
      </c>
      <c r="O269" s="62">
        <f t="shared" si="4"/>
        <v>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4">
        <v>262.0</v>
      </c>
      <c r="C270" s="56" t="s">
        <v>310</v>
      </c>
      <c r="D270" s="67">
        <f>49500/1.11</f>
        <v>44594.59459</v>
      </c>
      <c r="E270" s="56">
        <v>56.0</v>
      </c>
      <c r="F270" s="59">
        <f t="shared" si="6"/>
        <v>2497297.297</v>
      </c>
      <c r="G270" s="56">
        <v>56.0</v>
      </c>
      <c r="H270" s="59">
        <f t="shared" si="1"/>
        <v>2497297.297</v>
      </c>
      <c r="I270" s="39"/>
      <c r="J270" s="39"/>
      <c r="K270" s="60">
        <f t="shared" si="2"/>
        <v>0</v>
      </c>
      <c r="L270" s="39"/>
      <c r="M270" s="59">
        <f t="shared" si="3"/>
        <v>0</v>
      </c>
      <c r="N270" s="69">
        <v>56.0</v>
      </c>
      <c r="O270" s="62">
        <f t="shared" si="4"/>
        <v>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4">
        <v>263.0</v>
      </c>
      <c r="C271" s="56" t="s">
        <v>311</v>
      </c>
      <c r="D271" s="67">
        <v>5000.0</v>
      </c>
      <c r="E271" s="56">
        <v>592.0</v>
      </c>
      <c r="F271" s="59">
        <f t="shared" si="6"/>
        <v>2960000</v>
      </c>
      <c r="G271" s="56">
        <v>592.0</v>
      </c>
      <c r="H271" s="59">
        <f t="shared" si="1"/>
        <v>2960000</v>
      </c>
      <c r="I271" s="39"/>
      <c r="J271" s="39"/>
      <c r="K271" s="60">
        <f t="shared" si="2"/>
        <v>0</v>
      </c>
      <c r="L271" s="39"/>
      <c r="M271" s="59">
        <f t="shared" si="3"/>
        <v>0</v>
      </c>
      <c r="N271" s="69">
        <v>59.2</v>
      </c>
      <c r="O271" s="62">
        <f t="shared" si="4"/>
        <v>-532.8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4">
        <v>264.0</v>
      </c>
      <c r="C272" s="56" t="s">
        <v>312</v>
      </c>
      <c r="D272" s="67">
        <v>6500.0</v>
      </c>
      <c r="E272" s="56">
        <v>177.0</v>
      </c>
      <c r="F272" s="59">
        <f t="shared" si="6"/>
        <v>1150500</v>
      </c>
      <c r="G272" s="56">
        <v>177.0</v>
      </c>
      <c r="H272" s="59">
        <f t="shared" si="1"/>
        <v>1150500</v>
      </c>
      <c r="I272" s="39"/>
      <c r="J272" s="39"/>
      <c r="K272" s="60">
        <f t="shared" si="2"/>
        <v>0</v>
      </c>
      <c r="L272" s="39"/>
      <c r="M272" s="59">
        <f t="shared" si="3"/>
        <v>0</v>
      </c>
      <c r="N272" s="69">
        <v>177.0</v>
      </c>
      <c r="O272" s="62">
        <f t="shared" si="4"/>
        <v>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4">
        <v>265.0</v>
      </c>
      <c r="C273" s="56" t="s">
        <v>313</v>
      </c>
      <c r="D273" s="67">
        <f>49500/1.11</f>
        <v>44594.59459</v>
      </c>
      <c r="E273" s="56">
        <v>15.0</v>
      </c>
      <c r="F273" s="59">
        <f t="shared" si="6"/>
        <v>668918.9189</v>
      </c>
      <c r="G273" s="56">
        <v>15.0</v>
      </c>
      <c r="H273" s="59">
        <f t="shared" si="1"/>
        <v>668918.9189</v>
      </c>
      <c r="I273" s="39"/>
      <c r="J273" s="39"/>
      <c r="K273" s="60">
        <f t="shared" si="2"/>
        <v>0</v>
      </c>
      <c r="L273" s="39"/>
      <c r="M273" s="59">
        <f t="shared" si="3"/>
        <v>0</v>
      </c>
      <c r="N273" s="69">
        <v>15.0</v>
      </c>
      <c r="O273" s="62">
        <f t="shared" si="4"/>
        <v>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4">
        <v>266.0</v>
      </c>
      <c r="C274" s="56" t="s">
        <v>314</v>
      </c>
      <c r="D274" s="67">
        <v>10500.0</v>
      </c>
      <c r="E274" s="56">
        <v>0.0</v>
      </c>
      <c r="F274" s="59">
        <f t="shared" si="6"/>
        <v>0</v>
      </c>
      <c r="G274" s="56">
        <v>0.0</v>
      </c>
      <c r="H274" s="59">
        <f t="shared" si="1"/>
        <v>0</v>
      </c>
      <c r="I274" s="39"/>
      <c r="J274" s="39"/>
      <c r="K274" s="60">
        <f t="shared" si="2"/>
        <v>0</v>
      </c>
      <c r="L274" s="39"/>
      <c r="M274" s="59">
        <f t="shared" si="3"/>
        <v>0</v>
      </c>
      <c r="N274" s="69">
        <v>0.0</v>
      </c>
      <c r="O274" s="62">
        <f t="shared" si="4"/>
        <v>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4">
        <v>267.0</v>
      </c>
      <c r="C275" s="56" t="s">
        <v>315</v>
      </c>
      <c r="D275" s="70"/>
      <c r="E275" s="56">
        <v>0.0</v>
      </c>
      <c r="F275" s="59">
        <f t="shared" si="6"/>
        <v>0</v>
      </c>
      <c r="G275" s="56">
        <v>0.0</v>
      </c>
      <c r="H275" s="59">
        <f t="shared" si="1"/>
        <v>0</v>
      </c>
      <c r="I275" s="39"/>
      <c r="J275" s="39"/>
      <c r="K275" s="60">
        <f t="shared" si="2"/>
        <v>0</v>
      </c>
      <c r="L275" s="39"/>
      <c r="M275" s="59">
        <f t="shared" si="3"/>
        <v>0</v>
      </c>
      <c r="N275" s="69">
        <v>0.0</v>
      </c>
      <c r="O275" s="62">
        <f t="shared" si="4"/>
        <v>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4">
        <v>268.0</v>
      </c>
      <c r="C276" s="56" t="s">
        <v>316</v>
      </c>
      <c r="D276" s="67">
        <v>2000.0</v>
      </c>
      <c r="E276" s="56">
        <v>16.0</v>
      </c>
      <c r="F276" s="59">
        <f t="shared" si="6"/>
        <v>32000</v>
      </c>
      <c r="G276" s="56">
        <v>16.0</v>
      </c>
      <c r="H276" s="59">
        <f t="shared" si="1"/>
        <v>32000</v>
      </c>
      <c r="I276" s="39"/>
      <c r="J276" s="39"/>
      <c r="K276" s="60">
        <f t="shared" si="2"/>
        <v>0</v>
      </c>
      <c r="L276" s="39"/>
      <c r="M276" s="59">
        <f t="shared" si="3"/>
        <v>0</v>
      </c>
      <c r="N276" s="69">
        <v>20.0</v>
      </c>
      <c r="O276" s="62">
        <f t="shared" si="4"/>
        <v>4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4">
        <v>269.0</v>
      </c>
      <c r="C277" s="56" t="s">
        <v>317</v>
      </c>
      <c r="D277" s="67">
        <v>8000.0</v>
      </c>
      <c r="E277" s="56">
        <v>15.0</v>
      </c>
      <c r="F277" s="59">
        <f t="shared" si="6"/>
        <v>120000</v>
      </c>
      <c r="G277" s="56">
        <v>15.0</v>
      </c>
      <c r="H277" s="59">
        <f t="shared" si="1"/>
        <v>120000</v>
      </c>
      <c r="I277" s="39"/>
      <c r="J277" s="39"/>
      <c r="K277" s="60">
        <f t="shared" si="2"/>
        <v>0</v>
      </c>
      <c r="L277" s="39"/>
      <c r="M277" s="59">
        <f t="shared" si="3"/>
        <v>0</v>
      </c>
      <c r="N277" s="61">
        <v>15.0</v>
      </c>
      <c r="O277" s="62">
        <f t="shared" si="4"/>
        <v>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4">
        <v>270.0</v>
      </c>
      <c r="C278" s="56" t="s">
        <v>318</v>
      </c>
      <c r="D278" s="67">
        <v>92500.0</v>
      </c>
      <c r="E278" s="56">
        <v>4.0</v>
      </c>
      <c r="F278" s="59">
        <f t="shared" si="6"/>
        <v>370000</v>
      </c>
      <c r="G278" s="56">
        <v>4.0</v>
      </c>
      <c r="H278" s="59">
        <f t="shared" si="1"/>
        <v>370000</v>
      </c>
      <c r="I278" s="39"/>
      <c r="J278" s="39"/>
      <c r="K278" s="60">
        <f t="shared" si="2"/>
        <v>0</v>
      </c>
      <c r="L278" s="39"/>
      <c r="M278" s="59">
        <f t="shared" si="3"/>
        <v>0</v>
      </c>
      <c r="N278" s="61">
        <v>4.0</v>
      </c>
      <c r="O278" s="62">
        <f t="shared" si="4"/>
        <v>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4">
        <v>271.0</v>
      </c>
      <c r="C279" s="56" t="s">
        <v>319</v>
      </c>
      <c r="D279" s="70">
        <f>4125/1.11</f>
        <v>3716.216216</v>
      </c>
      <c r="E279" s="56">
        <v>16.0</v>
      </c>
      <c r="F279" s="59">
        <f t="shared" si="6"/>
        <v>59459.45946</v>
      </c>
      <c r="G279" s="56">
        <v>16.0</v>
      </c>
      <c r="H279" s="59">
        <f t="shared" si="1"/>
        <v>59459.45946</v>
      </c>
      <c r="I279" s="39"/>
      <c r="J279" s="39"/>
      <c r="K279" s="60">
        <f t="shared" si="2"/>
        <v>0</v>
      </c>
      <c r="L279" s="39"/>
      <c r="M279" s="59">
        <f t="shared" si="3"/>
        <v>0</v>
      </c>
      <c r="N279" s="61">
        <v>16.0</v>
      </c>
      <c r="O279" s="62">
        <f t="shared" si="4"/>
        <v>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4">
        <v>272.0</v>
      </c>
      <c r="C280" s="56" t="s">
        <v>320</v>
      </c>
      <c r="D280" s="70">
        <f>3375/1.11</f>
        <v>3040.540541</v>
      </c>
      <c r="E280" s="56">
        <v>4.0</v>
      </c>
      <c r="F280" s="59">
        <f t="shared" si="6"/>
        <v>12162.16216</v>
      </c>
      <c r="G280" s="56">
        <v>4.0</v>
      </c>
      <c r="H280" s="59">
        <f t="shared" si="1"/>
        <v>12162.16216</v>
      </c>
      <c r="I280" s="39"/>
      <c r="J280" s="39"/>
      <c r="K280" s="60">
        <f t="shared" si="2"/>
        <v>0</v>
      </c>
      <c r="L280" s="39"/>
      <c r="M280" s="59">
        <f t="shared" si="3"/>
        <v>0</v>
      </c>
      <c r="N280" s="61">
        <v>4.0</v>
      </c>
      <c r="O280" s="62">
        <f t="shared" si="4"/>
        <v>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4">
        <v>273.0</v>
      </c>
      <c r="C281" s="56" t="s">
        <v>321</v>
      </c>
      <c r="D281" s="72">
        <v>3750.0</v>
      </c>
      <c r="E281" s="56">
        <v>0.0</v>
      </c>
      <c r="F281" s="59">
        <f t="shared" si="6"/>
        <v>0</v>
      </c>
      <c r="G281" s="39"/>
      <c r="H281" s="59">
        <f t="shared" si="1"/>
        <v>0</v>
      </c>
      <c r="I281" s="39"/>
      <c r="J281" s="39"/>
      <c r="K281" s="60">
        <f t="shared" si="2"/>
        <v>0</v>
      </c>
      <c r="L281" s="39"/>
      <c r="M281" s="59">
        <f t="shared" si="3"/>
        <v>0</v>
      </c>
      <c r="N281" s="73"/>
      <c r="O281" s="62">
        <f t="shared" si="4"/>
        <v>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4">
        <v>274.0</v>
      </c>
      <c r="C282" s="56" t="s">
        <v>322</v>
      </c>
      <c r="D282" s="67">
        <v>3750.0</v>
      </c>
      <c r="E282" s="56">
        <v>3.0</v>
      </c>
      <c r="F282" s="59">
        <f t="shared" si="6"/>
        <v>11250</v>
      </c>
      <c r="G282" s="56">
        <v>3.0</v>
      </c>
      <c r="H282" s="59">
        <f t="shared" si="1"/>
        <v>11250</v>
      </c>
      <c r="I282" s="39"/>
      <c r="J282" s="39"/>
      <c r="K282" s="60">
        <f t="shared" si="2"/>
        <v>0</v>
      </c>
      <c r="L282" s="39"/>
      <c r="M282" s="59">
        <f t="shared" si="3"/>
        <v>0</v>
      </c>
      <c r="N282" s="61">
        <v>3.0</v>
      </c>
      <c r="O282" s="62">
        <f t="shared" si="4"/>
        <v>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4">
        <v>275.0</v>
      </c>
      <c r="C283" s="56" t="s">
        <v>323</v>
      </c>
      <c r="D283" s="63">
        <v>117.78</v>
      </c>
      <c r="E283" s="56">
        <v>730.0</v>
      </c>
      <c r="F283" s="59">
        <f t="shared" si="6"/>
        <v>85979.4</v>
      </c>
      <c r="G283" s="56">
        <v>730.0</v>
      </c>
      <c r="H283" s="59">
        <f t="shared" si="1"/>
        <v>85979.4</v>
      </c>
      <c r="I283" s="39"/>
      <c r="J283" s="39"/>
      <c r="K283" s="60">
        <f t="shared" si="2"/>
        <v>0</v>
      </c>
      <c r="L283" s="39"/>
      <c r="M283" s="59">
        <f t="shared" si="3"/>
        <v>0</v>
      </c>
      <c r="N283" s="61">
        <v>730.0</v>
      </c>
      <c r="O283" s="62">
        <f t="shared" si="4"/>
        <v>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4">
        <v>276.0</v>
      </c>
      <c r="C284" s="56" t="s">
        <v>324</v>
      </c>
      <c r="D284" s="63">
        <v>117.78</v>
      </c>
      <c r="E284" s="56">
        <v>380.0</v>
      </c>
      <c r="F284" s="59">
        <f t="shared" si="6"/>
        <v>44756.4</v>
      </c>
      <c r="G284" s="56">
        <v>380.0</v>
      </c>
      <c r="H284" s="59">
        <f t="shared" si="1"/>
        <v>44756.4</v>
      </c>
      <c r="I284" s="39"/>
      <c r="J284" s="39"/>
      <c r="K284" s="60">
        <f t="shared" si="2"/>
        <v>0</v>
      </c>
      <c r="L284" s="39"/>
      <c r="M284" s="59">
        <f t="shared" si="3"/>
        <v>0</v>
      </c>
      <c r="N284" s="61">
        <v>380.0</v>
      </c>
      <c r="O284" s="62">
        <f t="shared" si="4"/>
        <v>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4">
        <v>277.0</v>
      </c>
      <c r="C285" s="56" t="s">
        <v>325</v>
      </c>
      <c r="D285" s="63">
        <v>117.78</v>
      </c>
      <c r="E285" s="56">
        <v>170.0</v>
      </c>
      <c r="F285" s="59">
        <f t="shared" si="6"/>
        <v>20022.6</v>
      </c>
      <c r="G285" s="56">
        <v>170.0</v>
      </c>
      <c r="H285" s="59">
        <f t="shared" si="1"/>
        <v>20022.6</v>
      </c>
      <c r="I285" s="39"/>
      <c r="J285" s="39"/>
      <c r="K285" s="60">
        <f t="shared" si="2"/>
        <v>0</v>
      </c>
      <c r="L285" s="39"/>
      <c r="M285" s="59">
        <f t="shared" si="3"/>
        <v>0</v>
      </c>
      <c r="N285" s="61">
        <v>170.0</v>
      </c>
      <c r="O285" s="62">
        <f t="shared" si="4"/>
        <v>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4">
        <v>278.0</v>
      </c>
      <c r="C286" s="56" t="s">
        <v>326</v>
      </c>
      <c r="D286" s="63">
        <v>117.78</v>
      </c>
      <c r="E286" s="56">
        <v>420.0</v>
      </c>
      <c r="F286" s="59">
        <f t="shared" si="6"/>
        <v>49467.6</v>
      </c>
      <c r="G286" s="56">
        <v>420.0</v>
      </c>
      <c r="H286" s="59">
        <f t="shared" si="1"/>
        <v>49467.6</v>
      </c>
      <c r="I286" s="39"/>
      <c r="J286" s="39"/>
      <c r="K286" s="60">
        <f t="shared" si="2"/>
        <v>0</v>
      </c>
      <c r="L286" s="39"/>
      <c r="M286" s="59">
        <f t="shared" si="3"/>
        <v>0</v>
      </c>
      <c r="N286" s="61">
        <v>420.0</v>
      </c>
      <c r="O286" s="62">
        <f t="shared" si="4"/>
        <v>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4">
        <v>279.0</v>
      </c>
      <c r="C287" s="56" t="s">
        <v>327</v>
      </c>
      <c r="D287" s="63">
        <v>117.78</v>
      </c>
      <c r="E287" s="56">
        <v>730.0</v>
      </c>
      <c r="F287" s="59">
        <f t="shared" si="6"/>
        <v>85979.4</v>
      </c>
      <c r="G287" s="56">
        <v>730.0</v>
      </c>
      <c r="H287" s="59">
        <f t="shared" si="1"/>
        <v>85979.4</v>
      </c>
      <c r="I287" s="39"/>
      <c r="J287" s="39"/>
      <c r="K287" s="60">
        <f t="shared" si="2"/>
        <v>0</v>
      </c>
      <c r="L287" s="39"/>
      <c r="M287" s="59">
        <f t="shared" si="3"/>
        <v>0</v>
      </c>
      <c r="N287" s="61">
        <v>730.0</v>
      </c>
      <c r="O287" s="62">
        <f t="shared" si="4"/>
        <v>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4">
        <v>280.0</v>
      </c>
      <c r="C288" s="56" t="s">
        <v>328</v>
      </c>
      <c r="D288" s="63">
        <v>117.78</v>
      </c>
      <c r="E288" s="56">
        <v>580.0</v>
      </c>
      <c r="F288" s="59">
        <f t="shared" si="6"/>
        <v>68312.4</v>
      </c>
      <c r="G288" s="56">
        <v>580.0</v>
      </c>
      <c r="H288" s="59">
        <f t="shared" si="1"/>
        <v>68312.4</v>
      </c>
      <c r="I288" s="39"/>
      <c r="J288" s="39"/>
      <c r="K288" s="60">
        <f t="shared" si="2"/>
        <v>0</v>
      </c>
      <c r="L288" s="39"/>
      <c r="M288" s="59">
        <f t="shared" si="3"/>
        <v>0</v>
      </c>
      <c r="N288" s="61">
        <v>580.0</v>
      </c>
      <c r="O288" s="62">
        <f t="shared" si="4"/>
        <v>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4">
        <v>281.0</v>
      </c>
      <c r="C289" s="56" t="s">
        <v>329</v>
      </c>
      <c r="D289" s="67">
        <v>148648.65</v>
      </c>
      <c r="E289" s="64">
        <v>0.4</v>
      </c>
      <c r="F289" s="59">
        <f t="shared" si="6"/>
        <v>59459.46</v>
      </c>
      <c r="G289" s="64">
        <v>0.4</v>
      </c>
      <c r="H289" s="59">
        <f t="shared" si="1"/>
        <v>59459.46</v>
      </c>
      <c r="I289" s="39"/>
      <c r="J289" s="39"/>
      <c r="K289" s="60">
        <f t="shared" si="2"/>
        <v>0</v>
      </c>
      <c r="L289" s="39"/>
      <c r="M289" s="59">
        <f t="shared" si="3"/>
        <v>0</v>
      </c>
      <c r="N289" s="61">
        <v>0.4</v>
      </c>
      <c r="O289" s="62">
        <f t="shared" si="4"/>
        <v>0</v>
      </c>
      <c r="P289" s="1"/>
      <c r="Q289" s="64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4">
        <v>282.0</v>
      </c>
      <c r="C290" s="56" t="s">
        <v>330</v>
      </c>
      <c r="D290" s="63">
        <f t="shared" ref="D290:D291" si="10">170000/1.11</f>
        <v>153153.1532</v>
      </c>
      <c r="E290" s="64">
        <v>3.6</v>
      </c>
      <c r="F290" s="59">
        <f t="shared" si="6"/>
        <v>551351.3514</v>
      </c>
      <c r="G290" s="64">
        <v>3.6</v>
      </c>
      <c r="H290" s="59">
        <f t="shared" si="1"/>
        <v>551351.3514</v>
      </c>
      <c r="I290" s="39"/>
      <c r="J290" s="39"/>
      <c r="K290" s="60">
        <f t="shared" si="2"/>
        <v>0</v>
      </c>
      <c r="L290" s="39"/>
      <c r="M290" s="59">
        <f t="shared" si="3"/>
        <v>0</v>
      </c>
      <c r="N290" s="61">
        <v>3.6</v>
      </c>
      <c r="O290" s="62">
        <f t="shared" si="4"/>
        <v>0</v>
      </c>
      <c r="P290" s="1"/>
      <c r="Q290" s="64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4">
        <v>283.0</v>
      </c>
      <c r="C291" s="56" t="s">
        <v>331</v>
      </c>
      <c r="D291" s="63">
        <f t="shared" si="10"/>
        <v>153153.1532</v>
      </c>
      <c r="E291" s="64">
        <v>1.92</v>
      </c>
      <c r="F291" s="59">
        <f t="shared" si="6"/>
        <v>294054.0541</v>
      </c>
      <c r="G291" s="64">
        <v>1.92</v>
      </c>
      <c r="H291" s="59">
        <f t="shared" si="1"/>
        <v>294054.0541</v>
      </c>
      <c r="I291" s="39"/>
      <c r="J291" s="39"/>
      <c r="K291" s="60">
        <f t="shared" si="2"/>
        <v>0</v>
      </c>
      <c r="L291" s="39"/>
      <c r="M291" s="59">
        <f t="shared" si="3"/>
        <v>0</v>
      </c>
      <c r="N291" s="61">
        <v>1.92</v>
      </c>
      <c r="O291" s="62">
        <f t="shared" si="4"/>
        <v>0</v>
      </c>
      <c r="P291" s="1"/>
      <c r="Q291" s="64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4">
        <v>284.0</v>
      </c>
      <c r="C292" s="56" t="s">
        <v>332</v>
      </c>
      <c r="D292" s="63">
        <f>172222/1.11</f>
        <v>155154.955</v>
      </c>
      <c r="E292" s="64">
        <v>2.19</v>
      </c>
      <c r="F292" s="59">
        <f t="shared" si="6"/>
        <v>339789.3514</v>
      </c>
      <c r="G292" s="64">
        <v>2.19</v>
      </c>
      <c r="H292" s="59">
        <f t="shared" si="1"/>
        <v>339789.3514</v>
      </c>
      <c r="I292" s="39"/>
      <c r="J292" s="39"/>
      <c r="K292" s="60">
        <f t="shared" si="2"/>
        <v>0</v>
      </c>
      <c r="L292" s="39"/>
      <c r="M292" s="59">
        <f t="shared" si="3"/>
        <v>0</v>
      </c>
      <c r="N292" s="61">
        <v>2.19</v>
      </c>
      <c r="O292" s="62">
        <f t="shared" si="4"/>
        <v>0</v>
      </c>
      <c r="P292" s="1"/>
      <c r="Q292" s="64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4">
        <v>285.0</v>
      </c>
      <c r="C293" s="56" t="s">
        <v>333</v>
      </c>
      <c r="D293" s="63">
        <f>190000/1.11</f>
        <v>171171.1712</v>
      </c>
      <c r="E293" s="64">
        <v>4.9</v>
      </c>
      <c r="F293" s="59">
        <f t="shared" si="6"/>
        <v>838738.7387</v>
      </c>
      <c r="G293" s="64">
        <v>4.9</v>
      </c>
      <c r="H293" s="59">
        <f t="shared" si="1"/>
        <v>838738.7387</v>
      </c>
      <c r="I293" s="39"/>
      <c r="J293" s="39"/>
      <c r="K293" s="60">
        <f t="shared" si="2"/>
        <v>0</v>
      </c>
      <c r="L293" s="39"/>
      <c r="M293" s="59">
        <f t="shared" si="3"/>
        <v>0</v>
      </c>
      <c r="N293" s="61">
        <v>4.9</v>
      </c>
      <c r="O293" s="62">
        <f t="shared" si="4"/>
        <v>0</v>
      </c>
      <c r="P293" s="1"/>
      <c r="Q293" s="64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4">
        <v>286.0</v>
      </c>
      <c r="C294" s="56" t="s">
        <v>334</v>
      </c>
      <c r="D294" s="63">
        <f t="shared" ref="D294:D295" si="11">172222.22/1.11</f>
        <v>155155.1532</v>
      </c>
      <c r="E294" s="64">
        <v>2.95</v>
      </c>
      <c r="F294" s="59">
        <f t="shared" si="6"/>
        <v>457707.7018</v>
      </c>
      <c r="G294" s="64">
        <v>2.95</v>
      </c>
      <c r="H294" s="59">
        <f t="shared" si="1"/>
        <v>457707.7018</v>
      </c>
      <c r="I294" s="39"/>
      <c r="J294" s="39"/>
      <c r="K294" s="60">
        <f t="shared" si="2"/>
        <v>0</v>
      </c>
      <c r="L294" s="39"/>
      <c r="M294" s="59">
        <f t="shared" si="3"/>
        <v>0</v>
      </c>
      <c r="N294" s="61">
        <v>2.95</v>
      </c>
      <c r="O294" s="62">
        <f t="shared" si="4"/>
        <v>0</v>
      </c>
      <c r="P294" s="1"/>
      <c r="Q294" s="64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4">
        <v>287.0</v>
      </c>
      <c r="C295" s="56" t="s">
        <v>335</v>
      </c>
      <c r="D295" s="63">
        <f t="shared" si="11"/>
        <v>155155.1532</v>
      </c>
      <c r="E295" s="64">
        <v>1.85</v>
      </c>
      <c r="F295" s="59">
        <f t="shared" si="6"/>
        <v>287037.0333</v>
      </c>
      <c r="G295" s="64">
        <v>1.85</v>
      </c>
      <c r="H295" s="59">
        <f t="shared" si="1"/>
        <v>287037.0333</v>
      </c>
      <c r="I295" s="39"/>
      <c r="J295" s="39"/>
      <c r="K295" s="60">
        <f t="shared" si="2"/>
        <v>0</v>
      </c>
      <c r="L295" s="39"/>
      <c r="M295" s="59">
        <f t="shared" si="3"/>
        <v>0</v>
      </c>
      <c r="N295" s="61">
        <v>1.85</v>
      </c>
      <c r="O295" s="62">
        <f t="shared" si="4"/>
        <v>0</v>
      </c>
      <c r="P295" s="1"/>
      <c r="Q295" s="64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4">
        <v>288.0</v>
      </c>
      <c r="C296" s="56" t="s">
        <v>336</v>
      </c>
      <c r="D296" s="63">
        <f>172777.78/1.11</f>
        <v>155655.6577</v>
      </c>
      <c r="E296" s="64">
        <v>0.87</v>
      </c>
      <c r="F296" s="59">
        <f t="shared" si="6"/>
        <v>135420.4222</v>
      </c>
      <c r="G296" s="64">
        <v>0.87</v>
      </c>
      <c r="H296" s="59">
        <f t="shared" si="1"/>
        <v>135420.4222</v>
      </c>
      <c r="I296" s="39"/>
      <c r="J296" s="39"/>
      <c r="K296" s="60">
        <f t="shared" si="2"/>
        <v>0</v>
      </c>
      <c r="L296" s="39"/>
      <c r="M296" s="59">
        <f t="shared" si="3"/>
        <v>0</v>
      </c>
      <c r="N296" s="61">
        <v>0.87</v>
      </c>
      <c r="O296" s="62">
        <f t="shared" si="4"/>
        <v>0</v>
      </c>
      <c r="P296" s="1"/>
      <c r="Q296" s="64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4">
        <v>289.0</v>
      </c>
      <c r="C297" s="56" t="s">
        <v>337</v>
      </c>
      <c r="D297" s="63">
        <f>120000/1.11</f>
        <v>108108.1081</v>
      </c>
      <c r="E297" s="64">
        <v>5.5</v>
      </c>
      <c r="F297" s="59">
        <f t="shared" si="6"/>
        <v>594594.5946</v>
      </c>
      <c r="G297" s="64">
        <v>5.5</v>
      </c>
      <c r="H297" s="59">
        <f t="shared" si="1"/>
        <v>594594.5946</v>
      </c>
      <c r="I297" s="39"/>
      <c r="J297" s="39"/>
      <c r="K297" s="60">
        <f t="shared" si="2"/>
        <v>0</v>
      </c>
      <c r="L297" s="39"/>
      <c r="M297" s="59">
        <f t="shared" si="3"/>
        <v>0</v>
      </c>
      <c r="N297" s="61">
        <v>5.5</v>
      </c>
      <c r="O297" s="62">
        <f t="shared" si="4"/>
        <v>0</v>
      </c>
      <c r="P297" s="1"/>
      <c r="Q297" s="64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4">
        <v>290.0</v>
      </c>
      <c r="C298" s="56" t="s">
        <v>338</v>
      </c>
      <c r="D298" s="63">
        <f>115333/1.11</f>
        <v>103903.6036</v>
      </c>
      <c r="E298" s="64">
        <v>2.41</v>
      </c>
      <c r="F298" s="59">
        <f t="shared" si="6"/>
        <v>250407.6847</v>
      </c>
      <c r="G298" s="64">
        <v>2.41</v>
      </c>
      <c r="H298" s="59">
        <f t="shared" si="1"/>
        <v>250407.6847</v>
      </c>
      <c r="I298" s="39"/>
      <c r="J298" s="39"/>
      <c r="K298" s="60">
        <f t="shared" si="2"/>
        <v>0</v>
      </c>
      <c r="L298" s="39"/>
      <c r="M298" s="59">
        <f t="shared" si="3"/>
        <v>0</v>
      </c>
      <c r="N298" s="61">
        <v>2.41</v>
      </c>
      <c r="O298" s="62">
        <f t="shared" si="4"/>
        <v>0</v>
      </c>
      <c r="P298" s="1"/>
      <c r="Q298" s="64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4">
        <v>291.0</v>
      </c>
      <c r="C299" s="56" t="s">
        <v>339</v>
      </c>
      <c r="D299" s="63">
        <f>129444.44/1.11</f>
        <v>116616.6126</v>
      </c>
      <c r="E299" s="64">
        <v>1.0</v>
      </c>
      <c r="F299" s="59">
        <f t="shared" si="6"/>
        <v>116616.6126</v>
      </c>
      <c r="G299" s="64">
        <v>1.0</v>
      </c>
      <c r="H299" s="59">
        <f t="shared" si="1"/>
        <v>116616.6126</v>
      </c>
      <c r="I299" s="39"/>
      <c r="J299" s="39"/>
      <c r="K299" s="60">
        <f t="shared" si="2"/>
        <v>0</v>
      </c>
      <c r="L299" s="39"/>
      <c r="M299" s="59">
        <f t="shared" si="3"/>
        <v>0</v>
      </c>
      <c r="N299" s="61">
        <v>1.0</v>
      </c>
      <c r="O299" s="62">
        <f t="shared" si="4"/>
        <v>0</v>
      </c>
      <c r="P299" s="1"/>
      <c r="Q299" s="64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4">
        <v>292.0</v>
      </c>
      <c r="C300" s="56" t="s">
        <v>340</v>
      </c>
      <c r="D300" s="63">
        <f>246676/1.11</f>
        <v>222230.6306</v>
      </c>
      <c r="E300" s="64">
        <v>2.65</v>
      </c>
      <c r="F300" s="59">
        <f t="shared" si="6"/>
        <v>588911.1712</v>
      </c>
      <c r="G300" s="64">
        <v>2.65</v>
      </c>
      <c r="H300" s="59">
        <f t="shared" si="1"/>
        <v>588911.1712</v>
      </c>
      <c r="I300" s="39"/>
      <c r="J300" s="39"/>
      <c r="K300" s="60">
        <f t="shared" si="2"/>
        <v>0</v>
      </c>
      <c r="L300" s="39"/>
      <c r="M300" s="59">
        <f t="shared" si="3"/>
        <v>0</v>
      </c>
      <c r="N300" s="61">
        <v>2.65</v>
      </c>
      <c r="O300" s="62">
        <f t="shared" si="4"/>
        <v>0</v>
      </c>
      <c r="P300" s="1"/>
      <c r="Q300" s="64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4">
        <v>293.0</v>
      </c>
      <c r="C301" s="56" t="s">
        <v>341</v>
      </c>
      <c r="D301" s="63">
        <f>43666.67/1.11</f>
        <v>39339.34234</v>
      </c>
      <c r="E301" s="64">
        <v>3.0</v>
      </c>
      <c r="F301" s="59">
        <f t="shared" si="6"/>
        <v>118018.027</v>
      </c>
      <c r="G301" s="64">
        <v>3.0</v>
      </c>
      <c r="H301" s="59">
        <f t="shared" si="1"/>
        <v>118018.027</v>
      </c>
      <c r="I301" s="39"/>
      <c r="J301" s="39"/>
      <c r="K301" s="60">
        <f t="shared" si="2"/>
        <v>0</v>
      </c>
      <c r="L301" s="39"/>
      <c r="M301" s="59">
        <f t="shared" si="3"/>
        <v>0</v>
      </c>
      <c r="N301" s="61">
        <v>3.0</v>
      </c>
      <c r="O301" s="62">
        <f t="shared" si="4"/>
        <v>0</v>
      </c>
      <c r="P301" s="1"/>
      <c r="Q301" s="64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4">
        <v>294.0</v>
      </c>
      <c r="C302" s="56" t="s">
        <v>342</v>
      </c>
      <c r="D302" s="63">
        <f>95888.89/1.11</f>
        <v>86386.38739</v>
      </c>
      <c r="E302" s="64">
        <v>2.0</v>
      </c>
      <c r="F302" s="59">
        <f t="shared" si="6"/>
        <v>172772.7748</v>
      </c>
      <c r="G302" s="64">
        <v>2.0</v>
      </c>
      <c r="H302" s="59">
        <f t="shared" si="1"/>
        <v>172772.7748</v>
      </c>
      <c r="I302" s="39"/>
      <c r="J302" s="39"/>
      <c r="K302" s="60">
        <f t="shared" si="2"/>
        <v>0</v>
      </c>
      <c r="L302" s="39"/>
      <c r="M302" s="59">
        <f t="shared" si="3"/>
        <v>0</v>
      </c>
      <c r="N302" s="61">
        <v>2.0</v>
      </c>
      <c r="O302" s="62">
        <f t="shared" si="4"/>
        <v>0</v>
      </c>
      <c r="P302" s="1"/>
      <c r="Q302" s="64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4">
        <v>295.0</v>
      </c>
      <c r="C303" s="56" t="s">
        <v>343</v>
      </c>
      <c r="D303" s="67">
        <f>2583.333/1.11</f>
        <v>2327.327027</v>
      </c>
      <c r="E303" s="64">
        <v>84.24</v>
      </c>
      <c r="F303" s="59">
        <f t="shared" si="6"/>
        <v>196054.0288</v>
      </c>
      <c r="G303" s="64">
        <v>84.24</v>
      </c>
      <c r="H303" s="59">
        <f t="shared" si="1"/>
        <v>196054.0288</v>
      </c>
      <c r="I303" s="39"/>
      <c r="J303" s="39"/>
      <c r="K303" s="60">
        <f t="shared" si="2"/>
        <v>0</v>
      </c>
      <c r="L303" s="39"/>
      <c r="M303" s="59">
        <f t="shared" si="3"/>
        <v>0</v>
      </c>
      <c r="N303" s="61">
        <v>84.25</v>
      </c>
      <c r="O303" s="62">
        <f t="shared" si="4"/>
        <v>0.01</v>
      </c>
      <c r="P303" s="1"/>
      <c r="Q303" s="64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4">
        <v>296.0</v>
      </c>
      <c r="C304" s="56" t="s">
        <v>344</v>
      </c>
      <c r="D304" s="67">
        <f>10000/1.11</f>
        <v>9009.009009</v>
      </c>
      <c r="E304" s="64">
        <v>46.0</v>
      </c>
      <c r="F304" s="59">
        <f t="shared" si="6"/>
        <v>414414.4144</v>
      </c>
      <c r="G304" s="64">
        <v>46.0</v>
      </c>
      <c r="H304" s="59">
        <f t="shared" si="1"/>
        <v>414414.4144</v>
      </c>
      <c r="I304" s="39"/>
      <c r="J304" s="39"/>
      <c r="K304" s="60">
        <f t="shared" si="2"/>
        <v>0</v>
      </c>
      <c r="L304" s="39"/>
      <c r="M304" s="59">
        <f t="shared" si="3"/>
        <v>0</v>
      </c>
      <c r="N304" s="61">
        <v>46.0</v>
      </c>
      <c r="O304" s="62">
        <f t="shared" si="4"/>
        <v>0</v>
      </c>
      <c r="P304" s="1"/>
      <c r="Q304" s="64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4">
        <v>297.0</v>
      </c>
      <c r="C305" s="56" t="s">
        <v>345</v>
      </c>
      <c r="D305" s="67">
        <v>15000.0</v>
      </c>
      <c r="E305" s="64">
        <v>0.0</v>
      </c>
      <c r="F305" s="59">
        <f t="shared" si="6"/>
        <v>0</v>
      </c>
      <c r="G305" s="64">
        <v>0.0</v>
      </c>
      <c r="H305" s="59">
        <f t="shared" si="1"/>
        <v>0</v>
      </c>
      <c r="I305" s="39"/>
      <c r="J305" s="39"/>
      <c r="K305" s="60">
        <f t="shared" si="2"/>
        <v>0</v>
      </c>
      <c r="L305" s="39"/>
      <c r="M305" s="59">
        <f t="shared" si="3"/>
        <v>0</v>
      </c>
      <c r="N305" s="61">
        <v>0.0</v>
      </c>
      <c r="O305" s="62">
        <f t="shared" si="4"/>
        <v>0</v>
      </c>
      <c r="P305" s="1"/>
      <c r="Q305" s="64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4">
        <v>298.0</v>
      </c>
      <c r="C306" s="56" t="s">
        <v>346</v>
      </c>
      <c r="D306" s="63">
        <f>99000/1.11</f>
        <v>89189.18919</v>
      </c>
      <c r="E306" s="64">
        <v>2.15</v>
      </c>
      <c r="F306" s="59">
        <f t="shared" si="6"/>
        <v>191756.7568</v>
      </c>
      <c r="G306" s="64">
        <v>2.15</v>
      </c>
      <c r="H306" s="59">
        <f t="shared" si="1"/>
        <v>191756.7568</v>
      </c>
      <c r="I306" s="39"/>
      <c r="J306" s="39"/>
      <c r="K306" s="60">
        <f t="shared" si="2"/>
        <v>0</v>
      </c>
      <c r="L306" s="39"/>
      <c r="M306" s="59">
        <f t="shared" si="3"/>
        <v>0</v>
      </c>
      <c r="N306" s="61">
        <v>2.15</v>
      </c>
      <c r="O306" s="62">
        <f t="shared" si="4"/>
        <v>0</v>
      </c>
      <c r="P306" s="1"/>
      <c r="Q306" s="64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4">
        <v>299.0</v>
      </c>
      <c r="C307" s="56" t="s">
        <v>347</v>
      </c>
      <c r="D307" s="67">
        <v>152509.91</v>
      </c>
      <c r="E307" s="64">
        <v>1.0</v>
      </c>
      <c r="F307" s="59">
        <f t="shared" si="6"/>
        <v>152509.91</v>
      </c>
      <c r="G307" s="64">
        <v>1.0</v>
      </c>
      <c r="H307" s="59">
        <f t="shared" si="1"/>
        <v>152509.91</v>
      </c>
      <c r="I307" s="39"/>
      <c r="J307" s="39"/>
      <c r="K307" s="60">
        <f t="shared" si="2"/>
        <v>0</v>
      </c>
      <c r="L307" s="39"/>
      <c r="M307" s="59">
        <f t="shared" si="3"/>
        <v>0</v>
      </c>
      <c r="N307" s="61">
        <v>1.0</v>
      </c>
      <c r="O307" s="62">
        <f t="shared" si="4"/>
        <v>0</v>
      </c>
      <c r="P307" s="1"/>
      <c r="Q307" s="64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4">
        <v>300.0</v>
      </c>
      <c r="C308" s="56" t="s">
        <v>348</v>
      </c>
      <c r="D308" s="63">
        <f>172777.78/1.11</f>
        <v>155655.6577</v>
      </c>
      <c r="E308" s="64">
        <v>1.35</v>
      </c>
      <c r="F308" s="59">
        <f t="shared" si="6"/>
        <v>210135.1378</v>
      </c>
      <c r="G308" s="64">
        <v>1.35</v>
      </c>
      <c r="H308" s="59">
        <f t="shared" si="1"/>
        <v>210135.1378</v>
      </c>
      <c r="I308" s="39"/>
      <c r="J308" s="39"/>
      <c r="K308" s="60">
        <f t="shared" si="2"/>
        <v>0</v>
      </c>
      <c r="L308" s="39"/>
      <c r="M308" s="59">
        <f t="shared" si="3"/>
        <v>0</v>
      </c>
      <c r="N308" s="61">
        <v>1.35</v>
      </c>
      <c r="O308" s="62">
        <f t="shared" si="4"/>
        <v>0</v>
      </c>
      <c r="P308" s="1"/>
      <c r="Q308" s="64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4">
        <v>301.0</v>
      </c>
      <c r="C309" s="56" t="s">
        <v>349</v>
      </c>
      <c r="D309" s="63">
        <f>345347/1.11</f>
        <v>311123.4234</v>
      </c>
      <c r="E309" s="64">
        <v>2.6</v>
      </c>
      <c r="F309" s="59">
        <f t="shared" si="6"/>
        <v>808920.9009</v>
      </c>
      <c r="G309" s="64">
        <v>2.6</v>
      </c>
      <c r="H309" s="59">
        <f t="shared" si="1"/>
        <v>808920.9009</v>
      </c>
      <c r="I309" s="39"/>
      <c r="J309" s="39"/>
      <c r="K309" s="60">
        <f t="shared" si="2"/>
        <v>0</v>
      </c>
      <c r="L309" s="39"/>
      <c r="M309" s="59">
        <f t="shared" si="3"/>
        <v>0</v>
      </c>
      <c r="N309" s="61">
        <v>2.6</v>
      </c>
      <c r="O309" s="62">
        <f t="shared" si="4"/>
        <v>0</v>
      </c>
      <c r="P309" s="1"/>
      <c r="Q309" s="64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4">
        <v>302.0</v>
      </c>
      <c r="C310" s="56" t="s">
        <v>350</v>
      </c>
      <c r="D310" s="63">
        <f>21667/1.11</f>
        <v>19519.81982</v>
      </c>
      <c r="E310" s="64">
        <v>5.7</v>
      </c>
      <c r="F310" s="59">
        <f t="shared" si="6"/>
        <v>111262.973</v>
      </c>
      <c r="G310" s="64">
        <v>5.7</v>
      </c>
      <c r="H310" s="59">
        <f t="shared" si="1"/>
        <v>111262.973</v>
      </c>
      <c r="I310" s="39"/>
      <c r="J310" s="39"/>
      <c r="K310" s="60">
        <f t="shared" si="2"/>
        <v>0</v>
      </c>
      <c r="L310" s="39"/>
      <c r="M310" s="59">
        <f t="shared" si="3"/>
        <v>0</v>
      </c>
      <c r="N310" s="61">
        <v>5.7</v>
      </c>
      <c r="O310" s="62">
        <f t="shared" si="4"/>
        <v>0</v>
      </c>
      <c r="P310" s="1"/>
      <c r="Q310" s="64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4">
        <v>303.0</v>
      </c>
      <c r="C311" s="56" t="s">
        <v>351</v>
      </c>
      <c r="D311" s="63">
        <f>37555.56/1.11</f>
        <v>33833.83784</v>
      </c>
      <c r="E311" s="64">
        <v>0.0</v>
      </c>
      <c r="F311" s="59">
        <f t="shared" si="6"/>
        <v>0</v>
      </c>
      <c r="G311" s="64">
        <v>0.0</v>
      </c>
      <c r="H311" s="59">
        <f t="shared" si="1"/>
        <v>0</v>
      </c>
      <c r="I311" s="39"/>
      <c r="J311" s="39"/>
      <c r="K311" s="60">
        <f t="shared" si="2"/>
        <v>0</v>
      </c>
      <c r="L311" s="39"/>
      <c r="M311" s="59">
        <f t="shared" si="3"/>
        <v>0</v>
      </c>
      <c r="N311" s="69">
        <v>0.0</v>
      </c>
      <c r="O311" s="62">
        <f t="shared" si="4"/>
        <v>0</v>
      </c>
      <c r="P311" s="1"/>
      <c r="Q311" s="64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4">
        <v>304.0</v>
      </c>
      <c r="C312" s="56" t="s">
        <v>352</v>
      </c>
      <c r="D312" s="63">
        <v>26000.0</v>
      </c>
      <c r="E312" s="64">
        <v>42.72</v>
      </c>
      <c r="F312" s="59">
        <f t="shared" si="6"/>
        <v>1110720</v>
      </c>
      <c r="G312" s="64">
        <v>42.72</v>
      </c>
      <c r="H312" s="59">
        <f t="shared" si="1"/>
        <v>1110720</v>
      </c>
      <c r="I312" s="39"/>
      <c r="J312" s="39"/>
      <c r="K312" s="60">
        <f t="shared" si="2"/>
        <v>0</v>
      </c>
      <c r="L312" s="39"/>
      <c r="M312" s="59">
        <f t="shared" si="3"/>
        <v>0</v>
      </c>
      <c r="N312" s="69">
        <v>42.72</v>
      </c>
      <c r="O312" s="62">
        <f t="shared" si="4"/>
        <v>0</v>
      </c>
      <c r="P312" s="1"/>
      <c r="Q312" s="64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4">
        <v>305.0</v>
      </c>
      <c r="C313" s="56" t="s">
        <v>353</v>
      </c>
      <c r="D313" s="67">
        <v>6628.05</v>
      </c>
      <c r="E313" s="64">
        <v>14.0</v>
      </c>
      <c r="F313" s="59">
        <f t="shared" si="6"/>
        <v>92792.7</v>
      </c>
      <c r="G313" s="64">
        <v>14.0</v>
      </c>
      <c r="H313" s="59">
        <f t="shared" si="1"/>
        <v>92792.7</v>
      </c>
      <c r="I313" s="39"/>
      <c r="J313" s="39"/>
      <c r="K313" s="60">
        <f t="shared" si="2"/>
        <v>0</v>
      </c>
      <c r="L313" s="39"/>
      <c r="M313" s="59">
        <f t="shared" si="3"/>
        <v>0</v>
      </c>
      <c r="N313" s="69">
        <v>14.0</v>
      </c>
      <c r="O313" s="62">
        <f t="shared" si="4"/>
        <v>0</v>
      </c>
      <c r="P313" s="1"/>
      <c r="Q313" s="64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4">
        <v>306.0</v>
      </c>
      <c r="C314" s="56" t="s">
        <v>354</v>
      </c>
      <c r="D314" s="67">
        <v>6628.05</v>
      </c>
      <c r="E314" s="64">
        <v>13.5</v>
      </c>
      <c r="F314" s="59">
        <f t="shared" si="6"/>
        <v>89478.675</v>
      </c>
      <c r="G314" s="64">
        <v>13.5</v>
      </c>
      <c r="H314" s="59">
        <f t="shared" si="1"/>
        <v>89478.675</v>
      </c>
      <c r="I314" s="39"/>
      <c r="J314" s="39"/>
      <c r="K314" s="60">
        <f t="shared" si="2"/>
        <v>0</v>
      </c>
      <c r="L314" s="39"/>
      <c r="M314" s="59">
        <f t="shared" si="3"/>
        <v>0</v>
      </c>
      <c r="N314" s="69">
        <v>13.5</v>
      </c>
      <c r="O314" s="62">
        <f t="shared" si="4"/>
        <v>0</v>
      </c>
      <c r="P314" s="1"/>
      <c r="Q314" s="64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4">
        <v>307.0</v>
      </c>
      <c r="C315" s="56" t="s">
        <v>355</v>
      </c>
      <c r="D315" s="67">
        <v>6628.05</v>
      </c>
      <c r="E315" s="64">
        <v>5.0</v>
      </c>
      <c r="F315" s="59">
        <f t="shared" si="6"/>
        <v>33140.25</v>
      </c>
      <c r="G315" s="64">
        <v>5.0</v>
      </c>
      <c r="H315" s="59">
        <f t="shared" si="1"/>
        <v>33140.25</v>
      </c>
      <c r="I315" s="39"/>
      <c r="J315" s="39"/>
      <c r="K315" s="60">
        <f t="shared" si="2"/>
        <v>0</v>
      </c>
      <c r="L315" s="39"/>
      <c r="M315" s="59">
        <f t="shared" si="3"/>
        <v>0</v>
      </c>
      <c r="N315" s="69">
        <v>5.0</v>
      </c>
      <c r="O315" s="62">
        <f t="shared" si="4"/>
        <v>0</v>
      </c>
      <c r="P315" s="1"/>
      <c r="Q315" s="64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4">
        <v>308.0</v>
      </c>
      <c r="C316" s="56" t="s">
        <v>356</v>
      </c>
      <c r="D316" s="67">
        <v>68500.0</v>
      </c>
      <c r="E316" s="64">
        <v>0.0</v>
      </c>
      <c r="F316" s="59">
        <f t="shared" si="6"/>
        <v>0</v>
      </c>
      <c r="G316" s="64">
        <v>0.0</v>
      </c>
      <c r="H316" s="59">
        <f t="shared" si="1"/>
        <v>0</v>
      </c>
      <c r="I316" s="39"/>
      <c r="J316" s="39"/>
      <c r="K316" s="60">
        <f t="shared" si="2"/>
        <v>0</v>
      </c>
      <c r="L316" s="39"/>
      <c r="M316" s="59">
        <f t="shared" si="3"/>
        <v>0</v>
      </c>
      <c r="N316" s="69">
        <v>0.0</v>
      </c>
      <c r="O316" s="62">
        <f t="shared" si="4"/>
        <v>0</v>
      </c>
      <c r="P316" s="1"/>
      <c r="Q316" s="64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4">
        <v>309.0</v>
      </c>
      <c r="C317" s="56" t="s">
        <v>357</v>
      </c>
      <c r="D317" s="67">
        <v>88000.0</v>
      </c>
      <c r="E317" s="64">
        <v>1.0</v>
      </c>
      <c r="F317" s="59">
        <f t="shared" si="6"/>
        <v>88000</v>
      </c>
      <c r="G317" s="64">
        <v>1.0</v>
      </c>
      <c r="H317" s="59">
        <f t="shared" si="1"/>
        <v>88000</v>
      </c>
      <c r="I317" s="39"/>
      <c r="J317" s="39"/>
      <c r="K317" s="60">
        <f t="shared" si="2"/>
        <v>0</v>
      </c>
      <c r="L317" s="39"/>
      <c r="M317" s="59">
        <f t="shared" si="3"/>
        <v>0</v>
      </c>
      <c r="N317" s="69">
        <v>1.0</v>
      </c>
      <c r="O317" s="62">
        <f t="shared" si="4"/>
        <v>0</v>
      </c>
      <c r="P317" s="1"/>
      <c r="Q317" s="64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4">
        <v>310.0</v>
      </c>
      <c r="C318" s="56" t="s">
        <v>358</v>
      </c>
      <c r="D318" s="67">
        <v>148648.65</v>
      </c>
      <c r="E318" s="64">
        <v>2.4</v>
      </c>
      <c r="F318" s="59">
        <f t="shared" si="6"/>
        <v>356756.76</v>
      </c>
      <c r="G318" s="64">
        <v>2.4</v>
      </c>
      <c r="H318" s="59">
        <f t="shared" si="1"/>
        <v>356756.76</v>
      </c>
      <c r="I318" s="39"/>
      <c r="J318" s="39"/>
      <c r="K318" s="60">
        <f t="shared" si="2"/>
        <v>0</v>
      </c>
      <c r="L318" s="39"/>
      <c r="M318" s="59">
        <f t="shared" si="3"/>
        <v>0</v>
      </c>
      <c r="N318" s="69">
        <v>2.4</v>
      </c>
      <c r="O318" s="62">
        <f t="shared" si="4"/>
        <v>0</v>
      </c>
      <c r="P318" s="1"/>
      <c r="Q318" s="64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4">
        <v>311.0</v>
      </c>
      <c r="C319" s="56" t="s">
        <v>359</v>
      </c>
      <c r="D319" s="67">
        <v>148648.65</v>
      </c>
      <c r="E319" s="64">
        <v>2.2</v>
      </c>
      <c r="F319" s="59">
        <f t="shared" si="6"/>
        <v>327027.03</v>
      </c>
      <c r="G319" s="64">
        <v>2.2</v>
      </c>
      <c r="H319" s="59">
        <f t="shared" si="1"/>
        <v>327027.03</v>
      </c>
      <c r="I319" s="39"/>
      <c r="J319" s="39"/>
      <c r="K319" s="60">
        <f t="shared" si="2"/>
        <v>0</v>
      </c>
      <c r="L319" s="39"/>
      <c r="M319" s="59">
        <f t="shared" si="3"/>
        <v>0</v>
      </c>
      <c r="N319" s="69">
        <v>2.2</v>
      </c>
      <c r="O319" s="62">
        <f t="shared" si="4"/>
        <v>0</v>
      </c>
      <c r="P319" s="1"/>
      <c r="Q319" s="64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4">
        <v>312.0</v>
      </c>
      <c r="C320" s="56" t="s">
        <v>360</v>
      </c>
      <c r="D320" s="67">
        <v>148648.65</v>
      </c>
      <c r="E320" s="64">
        <v>0.8</v>
      </c>
      <c r="F320" s="59">
        <f t="shared" si="6"/>
        <v>118918.92</v>
      </c>
      <c r="G320" s="64">
        <v>0.8</v>
      </c>
      <c r="H320" s="59">
        <f t="shared" si="1"/>
        <v>118918.92</v>
      </c>
      <c r="I320" s="39"/>
      <c r="J320" s="39"/>
      <c r="K320" s="60">
        <f t="shared" si="2"/>
        <v>0</v>
      </c>
      <c r="L320" s="39"/>
      <c r="M320" s="59">
        <f t="shared" si="3"/>
        <v>0</v>
      </c>
      <c r="N320" s="69">
        <v>0.8</v>
      </c>
      <c r="O320" s="62">
        <f t="shared" si="4"/>
        <v>0</v>
      </c>
      <c r="P320" s="1"/>
      <c r="Q320" s="64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4">
        <v>313.0</v>
      </c>
      <c r="C321" s="56" t="s">
        <v>361</v>
      </c>
      <c r="D321" s="67">
        <v>148648.65</v>
      </c>
      <c r="E321" s="64">
        <v>2.9</v>
      </c>
      <c r="F321" s="59">
        <f t="shared" si="6"/>
        <v>431081.085</v>
      </c>
      <c r="G321" s="64">
        <v>2.9</v>
      </c>
      <c r="H321" s="59">
        <f t="shared" si="1"/>
        <v>431081.085</v>
      </c>
      <c r="I321" s="39"/>
      <c r="J321" s="39"/>
      <c r="K321" s="60">
        <f t="shared" si="2"/>
        <v>0</v>
      </c>
      <c r="L321" s="39"/>
      <c r="M321" s="59">
        <f t="shared" si="3"/>
        <v>0</v>
      </c>
      <c r="N321" s="69">
        <v>2.9</v>
      </c>
      <c r="O321" s="62">
        <f t="shared" si="4"/>
        <v>0</v>
      </c>
      <c r="P321" s="1"/>
      <c r="Q321" s="64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4">
        <v>314.0</v>
      </c>
      <c r="C322" s="56" t="s">
        <v>362</v>
      </c>
      <c r="D322" s="67">
        <v>148648.65</v>
      </c>
      <c r="E322" s="64">
        <v>0.0</v>
      </c>
      <c r="F322" s="59">
        <f t="shared" si="6"/>
        <v>0</v>
      </c>
      <c r="G322" s="64">
        <v>0.0</v>
      </c>
      <c r="H322" s="59">
        <f t="shared" si="1"/>
        <v>0</v>
      </c>
      <c r="I322" s="39"/>
      <c r="J322" s="39"/>
      <c r="K322" s="60">
        <f t="shared" si="2"/>
        <v>0</v>
      </c>
      <c r="L322" s="39"/>
      <c r="M322" s="59">
        <f t="shared" si="3"/>
        <v>0</v>
      </c>
      <c r="N322" s="69">
        <v>0.0</v>
      </c>
      <c r="O322" s="62">
        <f t="shared" si="4"/>
        <v>0</v>
      </c>
      <c r="P322" s="1"/>
      <c r="Q322" s="64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4">
        <v>315.0</v>
      </c>
      <c r="C323" s="56" t="s">
        <v>363</v>
      </c>
      <c r="D323" s="67">
        <v>148648.65</v>
      </c>
      <c r="E323" s="64">
        <v>2.0</v>
      </c>
      <c r="F323" s="59">
        <f t="shared" si="6"/>
        <v>297297.3</v>
      </c>
      <c r="G323" s="64">
        <v>2.0</v>
      </c>
      <c r="H323" s="59">
        <f t="shared" si="1"/>
        <v>297297.3</v>
      </c>
      <c r="I323" s="39"/>
      <c r="J323" s="39"/>
      <c r="K323" s="60">
        <f t="shared" si="2"/>
        <v>0</v>
      </c>
      <c r="L323" s="39"/>
      <c r="M323" s="59">
        <f t="shared" si="3"/>
        <v>0</v>
      </c>
      <c r="N323" s="69">
        <v>2.0</v>
      </c>
      <c r="O323" s="62">
        <f t="shared" si="4"/>
        <v>0</v>
      </c>
      <c r="P323" s="1"/>
      <c r="Q323" s="64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4">
        <v>316.0</v>
      </c>
      <c r="C324" s="56" t="s">
        <v>364</v>
      </c>
      <c r="D324" s="67">
        <v>148648.65</v>
      </c>
      <c r="E324" s="64">
        <v>2.4</v>
      </c>
      <c r="F324" s="59">
        <f t="shared" si="6"/>
        <v>356756.76</v>
      </c>
      <c r="G324" s="64">
        <v>2.4</v>
      </c>
      <c r="H324" s="59">
        <f t="shared" si="1"/>
        <v>356756.76</v>
      </c>
      <c r="I324" s="39"/>
      <c r="J324" s="39"/>
      <c r="K324" s="60">
        <f t="shared" si="2"/>
        <v>0</v>
      </c>
      <c r="L324" s="39"/>
      <c r="M324" s="59">
        <f t="shared" si="3"/>
        <v>0</v>
      </c>
      <c r="N324" s="69">
        <v>2.4</v>
      </c>
      <c r="O324" s="62">
        <f t="shared" si="4"/>
        <v>0</v>
      </c>
      <c r="P324" s="1"/>
      <c r="Q324" s="64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4">
        <v>317.0</v>
      </c>
      <c r="C325" s="56" t="s">
        <v>365</v>
      </c>
      <c r="D325" s="67">
        <v>148648.65</v>
      </c>
      <c r="E325" s="64">
        <v>0.45</v>
      </c>
      <c r="F325" s="59">
        <f t="shared" si="6"/>
        <v>66891.8925</v>
      </c>
      <c r="G325" s="64">
        <v>0.45</v>
      </c>
      <c r="H325" s="59">
        <f t="shared" si="1"/>
        <v>66891.8925</v>
      </c>
      <c r="I325" s="39"/>
      <c r="J325" s="39"/>
      <c r="K325" s="60">
        <f t="shared" si="2"/>
        <v>0</v>
      </c>
      <c r="L325" s="39"/>
      <c r="M325" s="59">
        <f t="shared" si="3"/>
        <v>0</v>
      </c>
      <c r="N325" s="69">
        <v>0.45</v>
      </c>
      <c r="O325" s="62">
        <f t="shared" si="4"/>
        <v>0</v>
      </c>
      <c r="P325" s="1"/>
      <c r="Q325" s="64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4">
        <v>318.0</v>
      </c>
      <c r="C326" s="56" t="s">
        <v>366</v>
      </c>
      <c r="D326" s="67">
        <v>148648.65</v>
      </c>
      <c r="E326" s="64">
        <v>1.8</v>
      </c>
      <c r="F326" s="59">
        <f t="shared" si="6"/>
        <v>267567.57</v>
      </c>
      <c r="G326" s="64">
        <v>1.8</v>
      </c>
      <c r="H326" s="59">
        <f t="shared" si="1"/>
        <v>267567.57</v>
      </c>
      <c r="I326" s="39"/>
      <c r="J326" s="39"/>
      <c r="K326" s="60">
        <f t="shared" si="2"/>
        <v>0</v>
      </c>
      <c r="L326" s="39"/>
      <c r="M326" s="59">
        <f t="shared" si="3"/>
        <v>0</v>
      </c>
      <c r="N326" s="69">
        <v>1.8</v>
      </c>
      <c r="O326" s="62">
        <f t="shared" si="4"/>
        <v>0</v>
      </c>
      <c r="P326" s="1"/>
      <c r="Q326" s="64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4">
        <v>319.0</v>
      </c>
      <c r="C327" s="56" t="s">
        <v>367</v>
      </c>
      <c r="D327" s="67">
        <v>87387.39</v>
      </c>
      <c r="E327" s="64">
        <v>0.0</v>
      </c>
      <c r="F327" s="59">
        <f t="shared" si="6"/>
        <v>0</v>
      </c>
      <c r="G327" s="64">
        <v>0.0</v>
      </c>
      <c r="H327" s="59">
        <f t="shared" si="1"/>
        <v>0</v>
      </c>
      <c r="I327" s="39"/>
      <c r="J327" s="39"/>
      <c r="K327" s="60">
        <f t="shared" si="2"/>
        <v>0</v>
      </c>
      <c r="L327" s="39"/>
      <c r="M327" s="59">
        <f t="shared" si="3"/>
        <v>0</v>
      </c>
      <c r="N327" s="69">
        <v>0.0</v>
      </c>
      <c r="O327" s="62">
        <f t="shared" si="4"/>
        <v>0</v>
      </c>
      <c r="P327" s="1"/>
      <c r="Q327" s="64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4">
        <v>320.0</v>
      </c>
      <c r="C328" s="56" t="s">
        <v>368</v>
      </c>
      <c r="D328" s="67">
        <v>99099.1</v>
      </c>
      <c r="E328" s="64">
        <v>0.9</v>
      </c>
      <c r="F328" s="59">
        <f t="shared" si="6"/>
        <v>89189.19</v>
      </c>
      <c r="G328" s="64">
        <v>0.9</v>
      </c>
      <c r="H328" s="59">
        <f t="shared" si="1"/>
        <v>89189.19</v>
      </c>
      <c r="I328" s="39"/>
      <c r="J328" s="39"/>
      <c r="K328" s="60">
        <f t="shared" si="2"/>
        <v>0</v>
      </c>
      <c r="L328" s="39"/>
      <c r="M328" s="59">
        <f t="shared" si="3"/>
        <v>0</v>
      </c>
      <c r="N328" s="69">
        <v>0.9</v>
      </c>
      <c r="O328" s="62">
        <f t="shared" si="4"/>
        <v>0</v>
      </c>
      <c r="P328" s="1"/>
      <c r="Q328" s="64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4">
        <v>321.0</v>
      </c>
      <c r="C329" s="56" t="s">
        <v>369</v>
      </c>
      <c r="D329" s="67">
        <v>25000.0</v>
      </c>
      <c r="E329" s="64">
        <v>2.0</v>
      </c>
      <c r="F329" s="59">
        <f t="shared" si="6"/>
        <v>50000</v>
      </c>
      <c r="G329" s="64">
        <v>2.0</v>
      </c>
      <c r="H329" s="59">
        <f t="shared" si="1"/>
        <v>50000</v>
      </c>
      <c r="I329" s="39"/>
      <c r="J329" s="39"/>
      <c r="K329" s="60">
        <f t="shared" si="2"/>
        <v>0</v>
      </c>
      <c r="L329" s="39"/>
      <c r="M329" s="59">
        <f t="shared" si="3"/>
        <v>0</v>
      </c>
      <c r="N329" s="69">
        <v>2.0</v>
      </c>
      <c r="O329" s="62">
        <f t="shared" si="4"/>
        <v>0</v>
      </c>
      <c r="P329" s="1"/>
      <c r="Q329" s="64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4">
        <v>322.0</v>
      </c>
      <c r="C330" s="56" t="s">
        <v>370</v>
      </c>
      <c r="D330" s="67">
        <v>105405.41</v>
      </c>
      <c r="E330" s="64">
        <v>2.0</v>
      </c>
      <c r="F330" s="59">
        <f t="shared" si="6"/>
        <v>210810.82</v>
      </c>
      <c r="G330" s="64">
        <v>2.0</v>
      </c>
      <c r="H330" s="59">
        <f t="shared" si="1"/>
        <v>210810.82</v>
      </c>
      <c r="I330" s="39"/>
      <c r="J330" s="39"/>
      <c r="K330" s="60">
        <f t="shared" si="2"/>
        <v>0</v>
      </c>
      <c r="L330" s="39"/>
      <c r="M330" s="59">
        <f t="shared" si="3"/>
        <v>0</v>
      </c>
      <c r="N330" s="69">
        <v>2.0</v>
      </c>
      <c r="O330" s="62">
        <f t="shared" si="4"/>
        <v>0</v>
      </c>
      <c r="P330" s="1"/>
      <c r="Q330" s="64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4">
        <v>323.0</v>
      </c>
      <c r="C331" s="56" t="s">
        <v>371</v>
      </c>
      <c r="D331" s="67">
        <v>10000.0</v>
      </c>
      <c r="E331" s="64">
        <v>1.0</v>
      </c>
      <c r="F331" s="59">
        <f t="shared" si="6"/>
        <v>10000</v>
      </c>
      <c r="G331" s="64">
        <v>1.0</v>
      </c>
      <c r="H331" s="59">
        <f t="shared" si="1"/>
        <v>10000</v>
      </c>
      <c r="I331" s="39"/>
      <c r="J331" s="39"/>
      <c r="K331" s="60">
        <f t="shared" si="2"/>
        <v>0</v>
      </c>
      <c r="L331" s="39"/>
      <c r="M331" s="59">
        <f t="shared" si="3"/>
        <v>0</v>
      </c>
      <c r="N331" s="69">
        <v>1.0</v>
      </c>
      <c r="O331" s="62">
        <f t="shared" si="4"/>
        <v>0</v>
      </c>
      <c r="P331" s="1"/>
      <c r="Q331" s="64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4">
        <v>324.0</v>
      </c>
      <c r="C332" s="56" t="s">
        <v>372</v>
      </c>
      <c r="D332" s="67">
        <v>100000.0</v>
      </c>
      <c r="E332" s="64">
        <v>1.0</v>
      </c>
      <c r="F332" s="59">
        <f t="shared" si="6"/>
        <v>100000</v>
      </c>
      <c r="G332" s="64">
        <v>1.0</v>
      </c>
      <c r="H332" s="59">
        <f t="shared" si="1"/>
        <v>100000</v>
      </c>
      <c r="I332" s="39"/>
      <c r="J332" s="39"/>
      <c r="K332" s="60">
        <f t="shared" si="2"/>
        <v>0</v>
      </c>
      <c r="L332" s="39"/>
      <c r="M332" s="59">
        <f t="shared" si="3"/>
        <v>0</v>
      </c>
      <c r="N332" s="69">
        <v>1.0</v>
      </c>
      <c r="O332" s="62">
        <f t="shared" si="4"/>
        <v>0</v>
      </c>
      <c r="P332" s="1"/>
      <c r="Q332" s="64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4">
        <v>325.0</v>
      </c>
      <c r="C333" s="56" t="s">
        <v>373</v>
      </c>
      <c r="D333" s="67">
        <v>70000.0</v>
      </c>
      <c r="E333" s="64">
        <v>4.0</v>
      </c>
      <c r="F333" s="59">
        <f t="shared" si="6"/>
        <v>280000</v>
      </c>
      <c r="G333" s="64">
        <v>4.0</v>
      </c>
      <c r="H333" s="59">
        <f t="shared" si="1"/>
        <v>280000</v>
      </c>
      <c r="I333" s="39"/>
      <c r="J333" s="39"/>
      <c r="K333" s="60">
        <f t="shared" si="2"/>
        <v>0</v>
      </c>
      <c r="L333" s="39"/>
      <c r="M333" s="59">
        <f t="shared" si="3"/>
        <v>0</v>
      </c>
      <c r="N333" s="69">
        <v>4.0</v>
      </c>
      <c r="O333" s="62">
        <f t="shared" si="4"/>
        <v>0</v>
      </c>
      <c r="P333" s="1"/>
      <c r="Q333" s="64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4">
        <v>326.0</v>
      </c>
      <c r="C334" s="56" t="s">
        <v>374</v>
      </c>
      <c r="D334" s="67">
        <v>60000.0</v>
      </c>
      <c r="E334" s="64">
        <v>0.5</v>
      </c>
      <c r="F334" s="59">
        <f t="shared" si="6"/>
        <v>30000</v>
      </c>
      <c r="G334" s="64">
        <v>0.5</v>
      </c>
      <c r="H334" s="59">
        <f t="shared" si="1"/>
        <v>30000</v>
      </c>
      <c r="I334" s="39"/>
      <c r="J334" s="39"/>
      <c r="K334" s="60">
        <f t="shared" si="2"/>
        <v>0</v>
      </c>
      <c r="L334" s="39"/>
      <c r="M334" s="59">
        <f t="shared" si="3"/>
        <v>0</v>
      </c>
      <c r="N334" s="69">
        <v>0.5</v>
      </c>
      <c r="O334" s="62">
        <f t="shared" si="4"/>
        <v>0</v>
      </c>
      <c r="P334" s="1"/>
      <c r="Q334" s="64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4">
        <v>327.0</v>
      </c>
      <c r="C335" s="56" t="s">
        <v>375</v>
      </c>
      <c r="D335" s="67">
        <v>87387.0</v>
      </c>
      <c r="E335" s="64">
        <v>1.0</v>
      </c>
      <c r="F335" s="59">
        <f t="shared" si="6"/>
        <v>87387</v>
      </c>
      <c r="G335" s="64">
        <v>1.0</v>
      </c>
      <c r="H335" s="59">
        <f t="shared" si="1"/>
        <v>87387</v>
      </c>
      <c r="I335" s="39"/>
      <c r="J335" s="39"/>
      <c r="K335" s="60">
        <f t="shared" si="2"/>
        <v>0</v>
      </c>
      <c r="L335" s="39"/>
      <c r="M335" s="59">
        <f t="shared" si="3"/>
        <v>0</v>
      </c>
      <c r="N335" s="69">
        <v>0.0</v>
      </c>
      <c r="O335" s="62">
        <f t="shared" si="4"/>
        <v>-1</v>
      </c>
      <c r="P335" s="1"/>
      <c r="Q335" s="64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4">
        <v>328.0</v>
      </c>
      <c r="C336" s="56" t="s">
        <v>376</v>
      </c>
      <c r="D336" s="67">
        <v>87387.0</v>
      </c>
      <c r="E336" s="64">
        <v>1.0</v>
      </c>
      <c r="F336" s="59">
        <f t="shared" si="6"/>
        <v>87387</v>
      </c>
      <c r="G336" s="64">
        <v>1.0</v>
      </c>
      <c r="H336" s="59">
        <f t="shared" si="1"/>
        <v>87387</v>
      </c>
      <c r="I336" s="39"/>
      <c r="J336" s="39"/>
      <c r="K336" s="60">
        <f t="shared" si="2"/>
        <v>0</v>
      </c>
      <c r="L336" s="39"/>
      <c r="M336" s="59">
        <f t="shared" si="3"/>
        <v>0</v>
      </c>
      <c r="N336" s="69">
        <v>0.0</v>
      </c>
      <c r="O336" s="62">
        <f t="shared" si="4"/>
        <v>-1</v>
      </c>
      <c r="P336" s="1"/>
      <c r="Q336" s="64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4">
        <v>329.0</v>
      </c>
      <c r="C337" s="56" t="s">
        <v>377</v>
      </c>
      <c r="D337" s="67">
        <v>50000.0</v>
      </c>
      <c r="E337" s="64">
        <v>1.0</v>
      </c>
      <c r="F337" s="59">
        <f t="shared" si="6"/>
        <v>50000</v>
      </c>
      <c r="G337" s="64">
        <v>1.0</v>
      </c>
      <c r="H337" s="59">
        <f t="shared" si="1"/>
        <v>50000</v>
      </c>
      <c r="I337" s="39"/>
      <c r="J337" s="39"/>
      <c r="K337" s="60">
        <f t="shared" si="2"/>
        <v>0</v>
      </c>
      <c r="L337" s="39"/>
      <c r="M337" s="59">
        <f t="shared" si="3"/>
        <v>0</v>
      </c>
      <c r="N337" s="69">
        <v>0.0</v>
      </c>
      <c r="O337" s="62">
        <f t="shared" si="4"/>
        <v>-1</v>
      </c>
      <c r="P337" s="1"/>
      <c r="Q337" s="64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4">
        <v>330.0</v>
      </c>
      <c r="C338" s="56" t="s">
        <v>378</v>
      </c>
      <c r="D338" s="67">
        <v>50000.0</v>
      </c>
      <c r="E338" s="64">
        <v>2.0</v>
      </c>
      <c r="F338" s="59">
        <f t="shared" si="6"/>
        <v>100000</v>
      </c>
      <c r="G338" s="64">
        <v>2.0</v>
      </c>
      <c r="H338" s="59">
        <f t="shared" si="1"/>
        <v>100000</v>
      </c>
      <c r="I338" s="39"/>
      <c r="J338" s="39"/>
      <c r="K338" s="60">
        <f t="shared" si="2"/>
        <v>0</v>
      </c>
      <c r="L338" s="39"/>
      <c r="M338" s="59">
        <f t="shared" si="3"/>
        <v>0</v>
      </c>
      <c r="N338" s="69">
        <v>2.0</v>
      </c>
      <c r="O338" s="62">
        <f t="shared" si="4"/>
        <v>0</v>
      </c>
      <c r="P338" s="1"/>
      <c r="Q338" s="64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4">
        <v>331.0</v>
      </c>
      <c r="C339" s="56" t="s">
        <v>379</v>
      </c>
      <c r="D339" s="67">
        <v>148648.65</v>
      </c>
      <c r="E339" s="64">
        <v>3.0</v>
      </c>
      <c r="F339" s="59">
        <f t="shared" si="6"/>
        <v>445945.95</v>
      </c>
      <c r="G339" s="64">
        <v>3.0</v>
      </c>
      <c r="H339" s="59">
        <f t="shared" si="1"/>
        <v>445945.95</v>
      </c>
      <c r="I339" s="39"/>
      <c r="J339" s="39"/>
      <c r="K339" s="60">
        <f t="shared" si="2"/>
        <v>0</v>
      </c>
      <c r="L339" s="39"/>
      <c r="M339" s="59">
        <f t="shared" si="3"/>
        <v>0</v>
      </c>
      <c r="N339" s="69">
        <v>3.0</v>
      </c>
      <c r="O339" s="62">
        <f t="shared" si="4"/>
        <v>0</v>
      </c>
      <c r="P339" s="1"/>
      <c r="Q339" s="64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4">
        <v>332.0</v>
      </c>
      <c r="C340" s="56" t="s">
        <v>380</v>
      </c>
      <c r="D340" s="67">
        <v>130000.0</v>
      </c>
      <c r="E340" s="64">
        <v>1.0</v>
      </c>
      <c r="F340" s="59">
        <f t="shared" si="6"/>
        <v>130000</v>
      </c>
      <c r="G340" s="64">
        <v>1.0</v>
      </c>
      <c r="H340" s="59">
        <f t="shared" si="1"/>
        <v>130000</v>
      </c>
      <c r="I340" s="39"/>
      <c r="J340" s="39"/>
      <c r="K340" s="60">
        <f t="shared" si="2"/>
        <v>0</v>
      </c>
      <c r="L340" s="39"/>
      <c r="M340" s="59">
        <f t="shared" si="3"/>
        <v>0</v>
      </c>
      <c r="N340" s="69">
        <v>1.0</v>
      </c>
      <c r="O340" s="62">
        <f t="shared" si="4"/>
        <v>0</v>
      </c>
      <c r="P340" s="1"/>
      <c r="Q340" s="64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4">
        <v>333.0</v>
      </c>
      <c r="C341" s="56" t="s">
        <v>381</v>
      </c>
      <c r="D341" s="67">
        <v>84684.68</v>
      </c>
      <c r="E341" s="64">
        <v>3.3</v>
      </c>
      <c r="F341" s="59">
        <f t="shared" si="6"/>
        <v>279459.444</v>
      </c>
      <c r="G341" s="64">
        <v>3.3</v>
      </c>
      <c r="H341" s="59">
        <f t="shared" si="1"/>
        <v>279459.444</v>
      </c>
      <c r="I341" s="39"/>
      <c r="J341" s="39"/>
      <c r="K341" s="60">
        <f t="shared" si="2"/>
        <v>0</v>
      </c>
      <c r="L341" s="39"/>
      <c r="M341" s="59">
        <f t="shared" si="3"/>
        <v>0</v>
      </c>
      <c r="N341" s="69">
        <v>3.3</v>
      </c>
      <c r="O341" s="62">
        <f t="shared" si="4"/>
        <v>0</v>
      </c>
      <c r="P341" s="1"/>
      <c r="Q341" s="64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4">
        <v>334.0</v>
      </c>
      <c r="C342" s="56" t="s">
        <v>382</v>
      </c>
      <c r="D342" s="67">
        <v>99099.1</v>
      </c>
      <c r="E342" s="64">
        <v>1.5</v>
      </c>
      <c r="F342" s="59">
        <f t="shared" si="6"/>
        <v>148648.65</v>
      </c>
      <c r="G342" s="64">
        <v>1.5</v>
      </c>
      <c r="H342" s="59">
        <f t="shared" si="1"/>
        <v>148648.65</v>
      </c>
      <c r="I342" s="39"/>
      <c r="J342" s="39"/>
      <c r="K342" s="60">
        <f t="shared" si="2"/>
        <v>0</v>
      </c>
      <c r="L342" s="39"/>
      <c r="M342" s="59">
        <f t="shared" si="3"/>
        <v>0</v>
      </c>
      <c r="N342" s="69">
        <v>1.5</v>
      </c>
      <c r="O342" s="62">
        <f t="shared" si="4"/>
        <v>0</v>
      </c>
      <c r="P342" s="1"/>
      <c r="Q342" s="64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4">
        <v>335.0</v>
      </c>
      <c r="C343" s="56" t="s">
        <v>383</v>
      </c>
      <c r="D343" s="67">
        <v>99099.1</v>
      </c>
      <c r="E343" s="64">
        <v>1.0</v>
      </c>
      <c r="F343" s="59">
        <f t="shared" si="6"/>
        <v>99099.1</v>
      </c>
      <c r="G343" s="64">
        <v>1.0</v>
      </c>
      <c r="H343" s="59">
        <f t="shared" si="1"/>
        <v>99099.1</v>
      </c>
      <c r="I343" s="39"/>
      <c r="J343" s="39"/>
      <c r="K343" s="60">
        <f t="shared" si="2"/>
        <v>0</v>
      </c>
      <c r="L343" s="39"/>
      <c r="M343" s="59">
        <f t="shared" si="3"/>
        <v>0</v>
      </c>
      <c r="N343" s="69">
        <v>1.0</v>
      </c>
      <c r="O343" s="62">
        <f t="shared" si="4"/>
        <v>0</v>
      </c>
      <c r="P343" s="1"/>
      <c r="Q343" s="64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4">
        <v>336.0</v>
      </c>
      <c r="C344" s="56" t="s">
        <v>384</v>
      </c>
      <c r="D344" s="67">
        <v>83783.78</v>
      </c>
      <c r="E344" s="64">
        <v>1.0</v>
      </c>
      <c r="F344" s="59">
        <f t="shared" si="6"/>
        <v>83783.78</v>
      </c>
      <c r="G344" s="64">
        <v>1.0</v>
      </c>
      <c r="H344" s="59">
        <f t="shared" si="1"/>
        <v>83783.78</v>
      </c>
      <c r="I344" s="39"/>
      <c r="J344" s="39"/>
      <c r="K344" s="60">
        <f t="shared" si="2"/>
        <v>0</v>
      </c>
      <c r="L344" s="39"/>
      <c r="M344" s="59">
        <f t="shared" si="3"/>
        <v>0</v>
      </c>
      <c r="N344" s="69">
        <v>1.0</v>
      </c>
      <c r="O344" s="62">
        <f t="shared" si="4"/>
        <v>0</v>
      </c>
      <c r="P344" s="1"/>
      <c r="Q344" s="64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4">
        <v>337.0</v>
      </c>
      <c r="C345" s="56" t="s">
        <v>385</v>
      </c>
      <c r="D345" s="67">
        <v>83783.78</v>
      </c>
      <c r="E345" s="64">
        <v>1.0</v>
      </c>
      <c r="F345" s="59">
        <f t="shared" si="6"/>
        <v>83783.78</v>
      </c>
      <c r="G345" s="64">
        <v>1.0</v>
      </c>
      <c r="H345" s="59">
        <f t="shared" si="1"/>
        <v>83783.78</v>
      </c>
      <c r="I345" s="39"/>
      <c r="J345" s="39"/>
      <c r="K345" s="60">
        <f t="shared" si="2"/>
        <v>0</v>
      </c>
      <c r="L345" s="39"/>
      <c r="M345" s="59">
        <f t="shared" si="3"/>
        <v>0</v>
      </c>
      <c r="N345" s="69">
        <v>1.0</v>
      </c>
      <c r="O345" s="62">
        <f t="shared" si="4"/>
        <v>0</v>
      </c>
      <c r="P345" s="1"/>
      <c r="Q345" s="64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4">
        <v>338.0</v>
      </c>
      <c r="C346" s="56" t="s">
        <v>386</v>
      </c>
      <c r="D346" s="67">
        <v>83783.78</v>
      </c>
      <c r="E346" s="64">
        <v>0.74</v>
      </c>
      <c r="F346" s="59">
        <f t="shared" si="6"/>
        <v>61999.9972</v>
      </c>
      <c r="G346" s="64">
        <v>0.74</v>
      </c>
      <c r="H346" s="59">
        <f t="shared" si="1"/>
        <v>61999.9972</v>
      </c>
      <c r="I346" s="39"/>
      <c r="J346" s="39"/>
      <c r="K346" s="60">
        <f t="shared" si="2"/>
        <v>0</v>
      </c>
      <c r="L346" s="39"/>
      <c r="M346" s="59">
        <f t="shared" si="3"/>
        <v>0</v>
      </c>
      <c r="N346" s="69">
        <v>0.74</v>
      </c>
      <c r="O346" s="62">
        <f t="shared" si="4"/>
        <v>0</v>
      </c>
      <c r="P346" s="1"/>
      <c r="Q346" s="64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4">
        <v>339.0</v>
      </c>
      <c r="C347" s="56" t="s">
        <v>387</v>
      </c>
      <c r="D347" s="67">
        <v>83783.78</v>
      </c>
      <c r="E347" s="64">
        <v>5.0</v>
      </c>
      <c r="F347" s="59">
        <f t="shared" si="6"/>
        <v>418918.9</v>
      </c>
      <c r="G347" s="64">
        <v>5.0</v>
      </c>
      <c r="H347" s="59">
        <f t="shared" si="1"/>
        <v>418918.9</v>
      </c>
      <c r="I347" s="39"/>
      <c r="J347" s="39"/>
      <c r="K347" s="60">
        <f t="shared" si="2"/>
        <v>0</v>
      </c>
      <c r="L347" s="39"/>
      <c r="M347" s="59">
        <f t="shared" si="3"/>
        <v>0</v>
      </c>
      <c r="N347" s="69">
        <v>5.0</v>
      </c>
      <c r="O347" s="62">
        <f t="shared" si="4"/>
        <v>0</v>
      </c>
      <c r="P347" s="1"/>
      <c r="Q347" s="64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4">
        <v>340.0</v>
      </c>
      <c r="C348" s="56" t="s">
        <v>388</v>
      </c>
      <c r="D348" s="67">
        <v>83783.78</v>
      </c>
      <c r="E348" s="64">
        <v>2.0</v>
      </c>
      <c r="F348" s="59">
        <f t="shared" si="6"/>
        <v>167567.56</v>
      </c>
      <c r="G348" s="64">
        <v>2.0</v>
      </c>
      <c r="H348" s="59">
        <f t="shared" si="1"/>
        <v>167567.56</v>
      </c>
      <c r="I348" s="39"/>
      <c r="J348" s="39"/>
      <c r="K348" s="60">
        <f t="shared" si="2"/>
        <v>0</v>
      </c>
      <c r="L348" s="39"/>
      <c r="M348" s="59">
        <f t="shared" si="3"/>
        <v>0</v>
      </c>
      <c r="N348" s="69">
        <v>2.0</v>
      </c>
      <c r="O348" s="62">
        <f t="shared" si="4"/>
        <v>0</v>
      </c>
      <c r="P348" s="1"/>
      <c r="Q348" s="64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4">
        <v>341.0</v>
      </c>
      <c r="C349" s="56" t="s">
        <v>389</v>
      </c>
      <c r="D349" s="67">
        <v>83783.78</v>
      </c>
      <c r="E349" s="64">
        <v>1.0</v>
      </c>
      <c r="F349" s="59">
        <f t="shared" si="6"/>
        <v>83783.78</v>
      </c>
      <c r="G349" s="64">
        <v>1.0</v>
      </c>
      <c r="H349" s="59">
        <f t="shared" si="1"/>
        <v>83783.78</v>
      </c>
      <c r="I349" s="39"/>
      <c r="J349" s="39"/>
      <c r="K349" s="60">
        <f t="shared" si="2"/>
        <v>0</v>
      </c>
      <c r="L349" s="39"/>
      <c r="M349" s="59">
        <f t="shared" si="3"/>
        <v>0</v>
      </c>
      <c r="N349" s="69">
        <v>1.0</v>
      </c>
      <c r="O349" s="62">
        <f t="shared" si="4"/>
        <v>0</v>
      </c>
      <c r="P349" s="1"/>
      <c r="Q349" s="64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4">
        <v>342.0</v>
      </c>
      <c r="C350" s="56" t="s">
        <v>390</v>
      </c>
      <c r="D350" s="67">
        <v>83783.78</v>
      </c>
      <c r="E350" s="64">
        <v>2.5</v>
      </c>
      <c r="F350" s="59">
        <f t="shared" si="6"/>
        <v>209459.45</v>
      </c>
      <c r="G350" s="64">
        <v>2.5</v>
      </c>
      <c r="H350" s="59">
        <f t="shared" si="1"/>
        <v>209459.45</v>
      </c>
      <c r="I350" s="39"/>
      <c r="J350" s="39"/>
      <c r="K350" s="60">
        <f t="shared" si="2"/>
        <v>0</v>
      </c>
      <c r="L350" s="39"/>
      <c r="M350" s="59">
        <f t="shared" si="3"/>
        <v>0</v>
      </c>
      <c r="N350" s="69">
        <v>2.5</v>
      </c>
      <c r="O350" s="62">
        <f t="shared" si="4"/>
        <v>0</v>
      </c>
      <c r="P350" s="1"/>
      <c r="Q350" s="64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4">
        <v>343.0</v>
      </c>
      <c r="C351" s="56" t="s">
        <v>391</v>
      </c>
      <c r="D351" s="67">
        <v>83783.78</v>
      </c>
      <c r="E351" s="64">
        <v>1.0</v>
      </c>
      <c r="F351" s="59">
        <f t="shared" si="6"/>
        <v>83783.78</v>
      </c>
      <c r="G351" s="64">
        <v>1.0</v>
      </c>
      <c r="H351" s="59">
        <f t="shared" si="1"/>
        <v>83783.78</v>
      </c>
      <c r="I351" s="39"/>
      <c r="J351" s="39"/>
      <c r="K351" s="60">
        <f t="shared" si="2"/>
        <v>0</v>
      </c>
      <c r="L351" s="39"/>
      <c r="M351" s="59">
        <f t="shared" si="3"/>
        <v>0</v>
      </c>
      <c r="N351" s="69">
        <v>1.0</v>
      </c>
      <c r="O351" s="62">
        <f t="shared" si="4"/>
        <v>0</v>
      </c>
      <c r="P351" s="1"/>
      <c r="Q351" s="64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4">
        <v>344.0</v>
      </c>
      <c r="C352" s="56" t="s">
        <v>392</v>
      </c>
      <c r="D352" s="67">
        <v>83783.78</v>
      </c>
      <c r="E352" s="64">
        <v>1.0</v>
      </c>
      <c r="F352" s="59">
        <f t="shared" si="6"/>
        <v>83783.78</v>
      </c>
      <c r="G352" s="64">
        <v>1.0</v>
      </c>
      <c r="H352" s="59">
        <f t="shared" si="1"/>
        <v>83783.78</v>
      </c>
      <c r="I352" s="39"/>
      <c r="J352" s="39"/>
      <c r="K352" s="60">
        <f t="shared" si="2"/>
        <v>0</v>
      </c>
      <c r="L352" s="39"/>
      <c r="M352" s="59">
        <f t="shared" si="3"/>
        <v>0</v>
      </c>
      <c r="N352" s="69">
        <v>1.0</v>
      </c>
      <c r="O352" s="62">
        <f t="shared" si="4"/>
        <v>0</v>
      </c>
      <c r="P352" s="1"/>
      <c r="Q352" s="64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4">
        <v>345.0</v>
      </c>
      <c r="C353" s="56" t="s">
        <v>393</v>
      </c>
      <c r="D353" s="67">
        <v>83783.78</v>
      </c>
      <c r="E353" s="64">
        <v>1.0</v>
      </c>
      <c r="F353" s="59">
        <f t="shared" si="6"/>
        <v>83783.78</v>
      </c>
      <c r="G353" s="64">
        <v>1.0</v>
      </c>
      <c r="H353" s="59">
        <f t="shared" si="1"/>
        <v>83783.78</v>
      </c>
      <c r="I353" s="39"/>
      <c r="J353" s="39"/>
      <c r="K353" s="60">
        <f t="shared" si="2"/>
        <v>0</v>
      </c>
      <c r="L353" s="39"/>
      <c r="M353" s="59">
        <f t="shared" si="3"/>
        <v>0</v>
      </c>
      <c r="N353" s="69">
        <v>1.0</v>
      </c>
      <c r="O353" s="62">
        <f t="shared" si="4"/>
        <v>0</v>
      </c>
      <c r="P353" s="1"/>
      <c r="Q353" s="64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4">
        <v>346.0</v>
      </c>
      <c r="C354" s="56" t="s">
        <v>394</v>
      </c>
      <c r="D354" s="67">
        <v>148648.65</v>
      </c>
      <c r="E354" s="64">
        <v>1.8</v>
      </c>
      <c r="F354" s="59">
        <f t="shared" si="6"/>
        <v>267567.57</v>
      </c>
      <c r="G354" s="64">
        <v>1.8</v>
      </c>
      <c r="H354" s="59">
        <f t="shared" si="1"/>
        <v>267567.57</v>
      </c>
      <c r="I354" s="39"/>
      <c r="J354" s="39"/>
      <c r="K354" s="60">
        <f t="shared" si="2"/>
        <v>0</v>
      </c>
      <c r="L354" s="39"/>
      <c r="M354" s="59">
        <f t="shared" si="3"/>
        <v>0</v>
      </c>
      <c r="N354" s="69">
        <v>1.8</v>
      </c>
      <c r="O354" s="62">
        <f t="shared" si="4"/>
        <v>0</v>
      </c>
      <c r="P354" s="1"/>
      <c r="Q354" s="64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4">
        <v>347.0</v>
      </c>
      <c r="C355" s="56" t="s">
        <v>395</v>
      </c>
      <c r="D355" s="67">
        <v>83783.78</v>
      </c>
      <c r="E355" s="64">
        <v>1.55</v>
      </c>
      <c r="F355" s="59">
        <f t="shared" si="6"/>
        <v>129864.859</v>
      </c>
      <c r="G355" s="64">
        <v>1.55</v>
      </c>
      <c r="H355" s="59">
        <f t="shared" si="1"/>
        <v>129864.859</v>
      </c>
      <c r="I355" s="39"/>
      <c r="J355" s="39"/>
      <c r="K355" s="60">
        <f t="shared" si="2"/>
        <v>0</v>
      </c>
      <c r="L355" s="39"/>
      <c r="M355" s="59">
        <f t="shared" si="3"/>
        <v>0</v>
      </c>
      <c r="N355" s="69">
        <v>1.55</v>
      </c>
      <c r="O355" s="62">
        <f t="shared" si="4"/>
        <v>0</v>
      </c>
      <c r="P355" s="1"/>
      <c r="Q355" s="64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4">
        <v>348.0</v>
      </c>
      <c r="C356" s="56" t="s">
        <v>396</v>
      </c>
      <c r="D356" s="67">
        <v>83783.78</v>
      </c>
      <c r="E356" s="64">
        <v>0.9</v>
      </c>
      <c r="F356" s="59">
        <f t="shared" si="6"/>
        <v>75405.402</v>
      </c>
      <c r="G356" s="64">
        <v>0.9</v>
      </c>
      <c r="H356" s="59">
        <f t="shared" si="1"/>
        <v>75405.402</v>
      </c>
      <c r="I356" s="39"/>
      <c r="J356" s="39"/>
      <c r="K356" s="60">
        <f t="shared" si="2"/>
        <v>0</v>
      </c>
      <c r="L356" s="39"/>
      <c r="M356" s="59">
        <f t="shared" si="3"/>
        <v>0</v>
      </c>
      <c r="N356" s="69">
        <v>0.9</v>
      </c>
      <c r="O356" s="62">
        <f t="shared" si="4"/>
        <v>0</v>
      </c>
      <c r="P356" s="1"/>
      <c r="Q356" s="64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4">
        <v>349.0</v>
      </c>
      <c r="C357" s="56" t="s">
        <v>397</v>
      </c>
      <c r="D357" s="67">
        <f t="shared" ref="D357:D358" si="12">100000/1.11</f>
        <v>90090.09009</v>
      </c>
      <c r="E357" s="64">
        <v>2.75</v>
      </c>
      <c r="F357" s="59">
        <f t="shared" si="6"/>
        <v>247747.7477</v>
      </c>
      <c r="G357" s="64">
        <v>2.75</v>
      </c>
      <c r="H357" s="59">
        <f t="shared" si="1"/>
        <v>247747.7477</v>
      </c>
      <c r="I357" s="39"/>
      <c r="J357" s="39"/>
      <c r="K357" s="60">
        <f t="shared" si="2"/>
        <v>0</v>
      </c>
      <c r="L357" s="39"/>
      <c r="M357" s="59">
        <f t="shared" si="3"/>
        <v>0</v>
      </c>
      <c r="N357" s="69">
        <v>2.75</v>
      </c>
      <c r="O357" s="62">
        <f t="shared" si="4"/>
        <v>0</v>
      </c>
      <c r="P357" s="1"/>
      <c r="Q357" s="64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4">
        <v>350.0</v>
      </c>
      <c r="C358" s="56" t="s">
        <v>398</v>
      </c>
      <c r="D358" s="67">
        <f t="shared" si="12"/>
        <v>90090.09009</v>
      </c>
      <c r="E358" s="64">
        <v>0.55</v>
      </c>
      <c r="F358" s="59">
        <f t="shared" si="6"/>
        <v>49549.54955</v>
      </c>
      <c r="G358" s="64">
        <v>0.55</v>
      </c>
      <c r="H358" s="59">
        <f t="shared" si="1"/>
        <v>49549.54955</v>
      </c>
      <c r="I358" s="39"/>
      <c r="J358" s="39"/>
      <c r="K358" s="60">
        <f t="shared" si="2"/>
        <v>0</v>
      </c>
      <c r="L358" s="39"/>
      <c r="M358" s="59">
        <f t="shared" si="3"/>
        <v>0</v>
      </c>
      <c r="N358" s="69">
        <v>0.55</v>
      </c>
      <c r="O358" s="62">
        <f t="shared" si="4"/>
        <v>0</v>
      </c>
      <c r="P358" s="1"/>
      <c r="Q358" s="64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4">
        <v>351.0</v>
      </c>
      <c r="C359" s="56" t="s">
        <v>399</v>
      </c>
      <c r="D359" s="67">
        <v>148648.65</v>
      </c>
      <c r="E359" s="64">
        <v>0.65</v>
      </c>
      <c r="F359" s="59">
        <f t="shared" si="6"/>
        <v>96621.6225</v>
      </c>
      <c r="G359" s="64">
        <v>0.65</v>
      </c>
      <c r="H359" s="59">
        <f t="shared" si="1"/>
        <v>96621.6225</v>
      </c>
      <c r="I359" s="39"/>
      <c r="J359" s="39"/>
      <c r="K359" s="60">
        <f t="shared" si="2"/>
        <v>0</v>
      </c>
      <c r="L359" s="39"/>
      <c r="M359" s="59">
        <f t="shared" si="3"/>
        <v>0</v>
      </c>
      <c r="N359" s="69">
        <v>0.65</v>
      </c>
      <c r="O359" s="62">
        <f t="shared" si="4"/>
        <v>0</v>
      </c>
      <c r="P359" s="1"/>
      <c r="Q359" s="64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4">
        <v>352.0</v>
      </c>
      <c r="C360" s="56" t="s">
        <v>400</v>
      </c>
      <c r="D360" s="67">
        <v>60000.0</v>
      </c>
      <c r="E360" s="64">
        <v>5.0</v>
      </c>
      <c r="F360" s="59">
        <f t="shared" si="6"/>
        <v>300000</v>
      </c>
      <c r="G360" s="64">
        <v>5.0</v>
      </c>
      <c r="H360" s="59">
        <f t="shared" si="1"/>
        <v>300000</v>
      </c>
      <c r="I360" s="39"/>
      <c r="J360" s="39"/>
      <c r="K360" s="60">
        <f t="shared" si="2"/>
        <v>0</v>
      </c>
      <c r="L360" s="39"/>
      <c r="M360" s="59">
        <f t="shared" si="3"/>
        <v>0</v>
      </c>
      <c r="N360" s="69">
        <v>5.0</v>
      </c>
      <c r="O360" s="62">
        <f t="shared" si="4"/>
        <v>0</v>
      </c>
      <c r="P360" s="1"/>
      <c r="Q360" s="64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4">
        <v>353.0</v>
      </c>
      <c r="C361" s="56" t="s">
        <v>401</v>
      </c>
      <c r="D361" s="67">
        <v>37837.84</v>
      </c>
      <c r="E361" s="64">
        <v>1.0</v>
      </c>
      <c r="F361" s="59">
        <f t="shared" si="6"/>
        <v>37837.84</v>
      </c>
      <c r="G361" s="64">
        <v>1.0</v>
      </c>
      <c r="H361" s="59">
        <f t="shared" si="1"/>
        <v>37837.84</v>
      </c>
      <c r="I361" s="39"/>
      <c r="J361" s="39"/>
      <c r="K361" s="60">
        <f t="shared" si="2"/>
        <v>0</v>
      </c>
      <c r="L361" s="39"/>
      <c r="M361" s="59">
        <f t="shared" si="3"/>
        <v>0</v>
      </c>
      <c r="N361" s="69">
        <v>1.0</v>
      </c>
      <c r="O361" s="62">
        <f t="shared" si="4"/>
        <v>0</v>
      </c>
      <c r="P361" s="1"/>
      <c r="Q361" s="64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4">
        <v>354.0</v>
      </c>
      <c r="C362" s="56" t="s">
        <v>402</v>
      </c>
      <c r="D362" s="67">
        <v>87387.39</v>
      </c>
      <c r="E362" s="64">
        <v>1.0</v>
      </c>
      <c r="F362" s="59">
        <f t="shared" si="6"/>
        <v>87387.39</v>
      </c>
      <c r="G362" s="64">
        <v>1.0</v>
      </c>
      <c r="H362" s="59">
        <f t="shared" si="1"/>
        <v>87387.39</v>
      </c>
      <c r="I362" s="39"/>
      <c r="J362" s="39"/>
      <c r="K362" s="60">
        <f t="shared" si="2"/>
        <v>0</v>
      </c>
      <c r="L362" s="39"/>
      <c r="M362" s="59">
        <f t="shared" si="3"/>
        <v>0</v>
      </c>
      <c r="N362" s="69">
        <v>1.0</v>
      </c>
      <c r="O362" s="62">
        <f t="shared" si="4"/>
        <v>0</v>
      </c>
      <c r="P362" s="1"/>
      <c r="Q362" s="64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4">
        <v>355.0</v>
      </c>
      <c r="C363" s="56" t="s">
        <v>403</v>
      </c>
      <c r="D363" s="67">
        <v>104954.95</v>
      </c>
      <c r="E363" s="64">
        <v>1.6</v>
      </c>
      <c r="F363" s="59">
        <f t="shared" si="6"/>
        <v>167927.92</v>
      </c>
      <c r="G363" s="64">
        <v>1.6</v>
      </c>
      <c r="H363" s="59">
        <f t="shared" si="1"/>
        <v>167927.92</v>
      </c>
      <c r="I363" s="39"/>
      <c r="J363" s="39"/>
      <c r="K363" s="60">
        <f t="shared" si="2"/>
        <v>0</v>
      </c>
      <c r="L363" s="39"/>
      <c r="M363" s="59">
        <f t="shared" si="3"/>
        <v>0</v>
      </c>
      <c r="N363" s="69">
        <v>1.6</v>
      </c>
      <c r="O363" s="62">
        <f t="shared" si="4"/>
        <v>0</v>
      </c>
      <c r="P363" s="1"/>
      <c r="Q363" s="64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4">
        <v>356.0</v>
      </c>
      <c r="C364" s="56" t="s">
        <v>404</v>
      </c>
      <c r="D364" s="67">
        <v>87387.39</v>
      </c>
      <c r="E364" s="64">
        <v>0.4</v>
      </c>
      <c r="F364" s="59">
        <f t="shared" si="6"/>
        <v>34954.956</v>
      </c>
      <c r="G364" s="64">
        <v>0.4</v>
      </c>
      <c r="H364" s="59">
        <f t="shared" si="1"/>
        <v>34954.956</v>
      </c>
      <c r="I364" s="39"/>
      <c r="J364" s="39"/>
      <c r="K364" s="60">
        <f t="shared" si="2"/>
        <v>0</v>
      </c>
      <c r="L364" s="39"/>
      <c r="M364" s="59">
        <f t="shared" si="3"/>
        <v>0</v>
      </c>
      <c r="N364" s="69">
        <v>0.4</v>
      </c>
      <c r="O364" s="62">
        <f t="shared" si="4"/>
        <v>0</v>
      </c>
      <c r="P364" s="1"/>
      <c r="Q364" s="64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4">
        <v>357.0</v>
      </c>
      <c r="C365" s="56" t="s">
        <v>405</v>
      </c>
      <c r="D365" s="67">
        <v>87387.39</v>
      </c>
      <c r="E365" s="64">
        <v>2.0</v>
      </c>
      <c r="F365" s="59">
        <f t="shared" si="6"/>
        <v>174774.78</v>
      </c>
      <c r="G365" s="64">
        <v>2.0</v>
      </c>
      <c r="H365" s="59">
        <f t="shared" si="1"/>
        <v>174774.78</v>
      </c>
      <c r="I365" s="39"/>
      <c r="J365" s="39"/>
      <c r="K365" s="60">
        <f t="shared" si="2"/>
        <v>0</v>
      </c>
      <c r="L365" s="39"/>
      <c r="M365" s="59">
        <f t="shared" si="3"/>
        <v>0</v>
      </c>
      <c r="N365" s="69">
        <v>2.0</v>
      </c>
      <c r="O365" s="62">
        <f t="shared" si="4"/>
        <v>0</v>
      </c>
      <c r="P365" s="1"/>
      <c r="Q365" s="64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4">
        <v>358.0</v>
      </c>
      <c r="C366" s="56" t="s">
        <v>406</v>
      </c>
      <c r="D366" s="67">
        <v>82882.88</v>
      </c>
      <c r="E366" s="64">
        <v>6.0</v>
      </c>
      <c r="F366" s="59">
        <f t="shared" si="6"/>
        <v>497297.28</v>
      </c>
      <c r="G366" s="64">
        <v>6.0</v>
      </c>
      <c r="H366" s="59">
        <f t="shared" si="1"/>
        <v>497297.28</v>
      </c>
      <c r="I366" s="39"/>
      <c r="J366" s="39"/>
      <c r="K366" s="60">
        <f t="shared" si="2"/>
        <v>0</v>
      </c>
      <c r="L366" s="39"/>
      <c r="M366" s="59">
        <f t="shared" si="3"/>
        <v>0</v>
      </c>
      <c r="N366" s="69">
        <v>6.0</v>
      </c>
      <c r="O366" s="62">
        <f t="shared" si="4"/>
        <v>0</v>
      </c>
      <c r="P366" s="1"/>
      <c r="Q366" s="64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4">
        <v>359.0</v>
      </c>
      <c r="C367" s="56" t="s">
        <v>407</v>
      </c>
      <c r="D367" s="67">
        <v>87387.39</v>
      </c>
      <c r="E367" s="64">
        <v>1.0</v>
      </c>
      <c r="F367" s="59">
        <f t="shared" si="6"/>
        <v>87387.39</v>
      </c>
      <c r="G367" s="64">
        <v>1.0</v>
      </c>
      <c r="H367" s="59">
        <f t="shared" si="1"/>
        <v>87387.39</v>
      </c>
      <c r="I367" s="39"/>
      <c r="J367" s="39"/>
      <c r="K367" s="60">
        <f t="shared" si="2"/>
        <v>0</v>
      </c>
      <c r="L367" s="39"/>
      <c r="M367" s="59">
        <f t="shared" si="3"/>
        <v>0</v>
      </c>
      <c r="N367" s="69">
        <v>1.0</v>
      </c>
      <c r="O367" s="62">
        <f t="shared" si="4"/>
        <v>0</v>
      </c>
      <c r="P367" s="1"/>
      <c r="Q367" s="64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4">
        <v>360.0</v>
      </c>
      <c r="C368" s="56" t="s">
        <v>408</v>
      </c>
      <c r="D368" s="67">
        <v>87387.39</v>
      </c>
      <c r="E368" s="64">
        <v>0.5</v>
      </c>
      <c r="F368" s="59">
        <f t="shared" si="6"/>
        <v>43693.695</v>
      </c>
      <c r="G368" s="64">
        <v>0.5</v>
      </c>
      <c r="H368" s="59">
        <f t="shared" si="1"/>
        <v>43693.695</v>
      </c>
      <c r="I368" s="39"/>
      <c r="J368" s="39"/>
      <c r="K368" s="60">
        <f t="shared" si="2"/>
        <v>0</v>
      </c>
      <c r="L368" s="39"/>
      <c r="M368" s="59">
        <f t="shared" si="3"/>
        <v>0</v>
      </c>
      <c r="N368" s="69">
        <v>0.5</v>
      </c>
      <c r="O368" s="62">
        <f t="shared" si="4"/>
        <v>0</v>
      </c>
      <c r="P368" s="1"/>
      <c r="Q368" s="64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4">
        <v>361.0</v>
      </c>
      <c r="C369" s="56" t="s">
        <v>409</v>
      </c>
      <c r="D369" s="67">
        <v>98648.65</v>
      </c>
      <c r="E369" s="64">
        <v>6.0</v>
      </c>
      <c r="F369" s="59">
        <f t="shared" si="6"/>
        <v>591891.9</v>
      </c>
      <c r="G369" s="64">
        <v>6.0</v>
      </c>
      <c r="H369" s="59">
        <f t="shared" si="1"/>
        <v>591891.9</v>
      </c>
      <c r="I369" s="39"/>
      <c r="J369" s="39"/>
      <c r="K369" s="60">
        <f t="shared" si="2"/>
        <v>0</v>
      </c>
      <c r="L369" s="39"/>
      <c r="M369" s="59">
        <f t="shared" si="3"/>
        <v>0</v>
      </c>
      <c r="N369" s="69">
        <v>6.0</v>
      </c>
      <c r="O369" s="62">
        <f t="shared" si="4"/>
        <v>0</v>
      </c>
      <c r="P369" s="1"/>
      <c r="Q369" s="64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4">
        <v>362.0</v>
      </c>
      <c r="C370" s="56" t="s">
        <v>410</v>
      </c>
      <c r="D370" s="67">
        <v>98648.65</v>
      </c>
      <c r="E370" s="64">
        <v>1.0</v>
      </c>
      <c r="F370" s="59">
        <f t="shared" si="6"/>
        <v>98648.65</v>
      </c>
      <c r="G370" s="64">
        <v>1.0</v>
      </c>
      <c r="H370" s="59">
        <f t="shared" si="1"/>
        <v>98648.65</v>
      </c>
      <c r="I370" s="39"/>
      <c r="J370" s="39"/>
      <c r="K370" s="60">
        <f t="shared" si="2"/>
        <v>0</v>
      </c>
      <c r="L370" s="39"/>
      <c r="M370" s="59">
        <f t="shared" si="3"/>
        <v>0</v>
      </c>
      <c r="N370" s="69">
        <v>1.0</v>
      </c>
      <c r="O370" s="62">
        <f t="shared" si="4"/>
        <v>0</v>
      </c>
      <c r="P370" s="1"/>
      <c r="Q370" s="64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4">
        <v>363.0</v>
      </c>
      <c r="C371" s="56" t="s">
        <v>411</v>
      </c>
      <c r="D371" s="67">
        <v>95000.0</v>
      </c>
      <c r="E371" s="64">
        <v>0.0</v>
      </c>
      <c r="F371" s="59">
        <f t="shared" si="6"/>
        <v>0</v>
      </c>
      <c r="G371" s="64">
        <v>0.0</v>
      </c>
      <c r="H371" s="59">
        <f t="shared" si="1"/>
        <v>0</v>
      </c>
      <c r="I371" s="39"/>
      <c r="J371" s="39"/>
      <c r="K371" s="60">
        <f t="shared" si="2"/>
        <v>0</v>
      </c>
      <c r="L371" s="39"/>
      <c r="M371" s="59">
        <f t="shared" si="3"/>
        <v>0</v>
      </c>
      <c r="N371" s="69">
        <v>0.0</v>
      </c>
      <c r="O371" s="62">
        <f t="shared" si="4"/>
        <v>0</v>
      </c>
      <c r="P371" s="1"/>
      <c r="Q371" s="64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4">
        <v>364.0</v>
      </c>
      <c r="C372" s="56" t="s">
        <v>412</v>
      </c>
      <c r="D372" s="67">
        <v>55855.86</v>
      </c>
      <c r="E372" s="64">
        <v>1.0</v>
      </c>
      <c r="F372" s="59">
        <f t="shared" si="6"/>
        <v>55855.86</v>
      </c>
      <c r="G372" s="64">
        <v>1.0</v>
      </c>
      <c r="H372" s="59">
        <f t="shared" si="1"/>
        <v>55855.86</v>
      </c>
      <c r="I372" s="39"/>
      <c r="J372" s="39"/>
      <c r="K372" s="60">
        <f t="shared" si="2"/>
        <v>0</v>
      </c>
      <c r="L372" s="39"/>
      <c r="M372" s="59">
        <f t="shared" si="3"/>
        <v>0</v>
      </c>
      <c r="N372" s="69">
        <v>1.0</v>
      </c>
      <c r="O372" s="62">
        <f t="shared" si="4"/>
        <v>0</v>
      </c>
      <c r="P372" s="1"/>
      <c r="Q372" s="64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4">
        <v>365.0</v>
      </c>
      <c r="C373" s="56" t="s">
        <v>413</v>
      </c>
      <c r="D373" s="67">
        <v>55855.86</v>
      </c>
      <c r="E373" s="64">
        <v>2.0</v>
      </c>
      <c r="F373" s="59">
        <f t="shared" si="6"/>
        <v>111711.72</v>
      </c>
      <c r="G373" s="64">
        <v>2.0</v>
      </c>
      <c r="H373" s="59">
        <f t="shared" si="1"/>
        <v>111711.72</v>
      </c>
      <c r="I373" s="39"/>
      <c r="J373" s="39"/>
      <c r="K373" s="60">
        <f t="shared" si="2"/>
        <v>0</v>
      </c>
      <c r="L373" s="39"/>
      <c r="M373" s="59">
        <f t="shared" si="3"/>
        <v>0</v>
      </c>
      <c r="N373" s="69">
        <v>2.0</v>
      </c>
      <c r="O373" s="62">
        <f t="shared" si="4"/>
        <v>0</v>
      </c>
      <c r="P373" s="1"/>
      <c r="Q373" s="64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4">
        <v>366.0</v>
      </c>
      <c r="C374" s="56" t="s">
        <v>414</v>
      </c>
      <c r="D374" s="67">
        <v>57657.66</v>
      </c>
      <c r="E374" s="64">
        <v>7.0</v>
      </c>
      <c r="F374" s="59">
        <f t="shared" si="6"/>
        <v>403603.62</v>
      </c>
      <c r="G374" s="64">
        <v>7.0</v>
      </c>
      <c r="H374" s="59">
        <f t="shared" si="1"/>
        <v>403603.62</v>
      </c>
      <c r="I374" s="39"/>
      <c r="J374" s="39"/>
      <c r="K374" s="60">
        <f t="shared" si="2"/>
        <v>0</v>
      </c>
      <c r="L374" s="39"/>
      <c r="M374" s="59">
        <f t="shared" si="3"/>
        <v>0</v>
      </c>
      <c r="N374" s="69">
        <v>7.0</v>
      </c>
      <c r="O374" s="62">
        <f t="shared" si="4"/>
        <v>0</v>
      </c>
      <c r="P374" s="1"/>
      <c r="Q374" s="64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4">
        <v>367.0</v>
      </c>
      <c r="C375" s="56" t="s">
        <v>415</v>
      </c>
      <c r="D375" s="67">
        <v>57657.66</v>
      </c>
      <c r="E375" s="64">
        <v>2.0</v>
      </c>
      <c r="F375" s="59">
        <f t="shared" si="6"/>
        <v>115315.32</v>
      </c>
      <c r="G375" s="64">
        <v>2.0</v>
      </c>
      <c r="H375" s="59">
        <f t="shared" si="1"/>
        <v>115315.32</v>
      </c>
      <c r="I375" s="39"/>
      <c r="J375" s="39"/>
      <c r="K375" s="60">
        <f t="shared" si="2"/>
        <v>0</v>
      </c>
      <c r="L375" s="39"/>
      <c r="M375" s="59">
        <f t="shared" si="3"/>
        <v>0</v>
      </c>
      <c r="N375" s="69">
        <v>2.0</v>
      </c>
      <c r="O375" s="62">
        <f t="shared" si="4"/>
        <v>0</v>
      </c>
      <c r="P375" s="1"/>
      <c r="Q375" s="64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4">
        <v>368.0</v>
      </c>
      <c r="C376" s="56" t="s">
        <v>416</v>
      </c>
      <c r="D376" s="67">
        <v>57657.66</v>
      </c>
      <c r="E376" s="64">
        <v>2.0</v>
      </c>
      <c r="F376" s="59">
        <f t="shared" si="6"/>
        <v>115315.32</v>
      </c>
      <c r="G376" s="64">
        <v>2.0</v>
      </c>
      <c r="H376" s="59">
        <f t="shared" si="1"/>
        <v>115315.32</v>
      </c>
      <c r="I376" s="39"/>
      <c r="J376" s="39"/>
      <c r="K376" s="60">
        <f t="shared" si="2"/>
        <v>0</v>
      </c>
      <c r="L376" s="39"/>
      <c r="M376" s="59">
        <f t="shared" si="3"/>
        <v>0</v>
      </c>
      <c r="N376" s="69">
        <v>2.0</v>
      </c>
      <c r="O376" s="62">
        <f t="shared" si="4"/>
        <v>0</v>
      </c>
      <c r="P376" s="1"/>
      <c r="Q376" s="64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4">
        <v>369.0</v>
      </c>
      <c r="C377" s="56" t="s">
        <v>417</v>
      </c>
      <c r="D377" s="67">
        <v>50000.0</v>
      </c>
      <c r="E377" s="64">
        <v>1.0</v>
      </c>
      <c r="F377" s="59">
        <f t="shared" si="6"/>
        <v>50000</v>
      </c>
      <c r="G377" s="64">
        <v>1.0</v>
      </c>
      <c r="H377" s="59">
        <f t="shared" si="1"/>
        <v>50000</v>
      </c>
      <c r="I377" s="39"/>
      <c r="J377" s="39"/>
      <c r="K377" s="60">
        <f t="shared" si="2"/>
        <v>0</v>
      </c>
      <c r="L377" s="39"/>
      <c r="M377" s="59">
        <f t="shared" si="3"/>
        <v>0</v>
      </c>
      <c r="N377" s="69">
        <v>1.0</v>
      </c>
      <c r="O377" s="62">
        <f t="shared" si="4"/>
        <v>0</v>
      </c>
      <c r="P377" s="1"/>
      <c r="Q377" s="64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4">
        <v>370.0</v>
      </c>
      <c r="C378" s="56" t="s">
        <v>418</v>
      </c>
      <c r="D378" s="67">
        <v>48648.65</v>
      </c>
      <c r="E378" s="64">
        <v>1.0</v>
      </c>
      <c r="F378" s="59">
        <f t="shared" si="6"/>
        <v>48648.65</v>
      </c>
      <c r="G378" s="64">
        <v>1.0</v>
      </c>
      <c r="H378" s="59">
        <f t="shared" si="1"/>
        <v>48648.65</v>
      </c>
      <c r="I378" s="39"/>
      <c r="J378" s="39"/>
      <c r="K378" s="60">
        <f t="shared" si="2"/>
        <v>0</v>
      </c>
      <c r="L378" s="39"/>
      <c r="M378" s="59">
        <f t="shared" si="3"/>
        <v>0</v>
      </c>
      <c r="N378" s="69">
        <v>1.0</v>
      </c>
      <c r="O378" s="62">
        <f t="shared" si="4"/>
        <v>0</v>
      </c>
      <c r="P378" s="1"/>
      <c r="Q378" s="64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4">
        <v>371.0</v>
      </c>
      <c r="C379" s="56" t="s">
        <v>419</v>
      </c>
      <c r="D379" s="67">
        <v>36036.04</v>
      </c>
      <c r="E379" s="64">
        <v>1.0</v>
      </c>
      <c r="F379" s="59">
        <f t="shared" si="6"/>
        <v>36036.04</v>
      </c>
      <c r="G379" s="64">
        <v>1.0</v>
      </c>
      <c r="H379" s="59">
        <f t="shared" si="1"/>
        <v>36036.04</v>
      </c>
      <c r="I379" s="39"/>
      <c r="J379" s="39"/>
      <c r="K379" s="60">
        <f t="shared" si="2"/>
        <v>0</v>
      </c>
      <c r="L379" s="39"/>
      <c r="M379" s="59">
        <f t="shared" si="3"/>
        <v>0</v>
      </c>
      <c r="N379" s="69">
        <v>1.0</v>
      </c>
      <c r="O379" s="62">
        <f t="shared" si="4"/>
        <v>0</v>
      </c>
      <c r="P379" s="1"/>
      <c r="Q379" s="64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4">
        <v>372.0</v>
      </c>
      <c r="C380" s="56" t="s">
        <v>420</v>
      </c>
      <c r="D380" s="67">
        <v>87387.39</v>
      </c>
      <c r="E380" s="64">
        <v>1.0</v>
      </c>
      <c r="F380" s="59">
        <f t="shared" si="6"/>
        <v>87387.39</v>
      </c>
      <c r="G380" s="64">
        <v>1.0</v>
      </c>
      <c r="H380" s="59">
        <f t="shared" si="1"/>
        <v>87387.39</v>
      </c>
      <c r="I380" s="39"/>
      <c r="J380" s="39"/>
      <c r="K380" s="60">
        <f t="shared" si="2"/>
        <v>0</v>
      </c>
      <c r="L380" s="39"/>
      <c r="M380" s="59">
        <f t="shared" si="3"/>
        <v>0</v>
      </c>
      <c r="N380" s="69">
        <v>1.0</v>
      </c>
      <c r="O380" s="62">
        <f t="shared" si="4"/>
        <v>0</v>
      </c>
      <c r="P380" s="1"/>
      <c r="Q380" s="64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4">
        <v>373.0</v>
      </c>
      <c r="C381" s="56" t="s">
        <v>421</v>
      </c>
      <c r="D381" s="67">
        <v>109009.01</v>
      </c>
      <c r="E381" s="64">
        <v>0.5</v>
      </c>
      <c r="F381" s="59">
        <f t="shared" si="6"/>
        <v>54504.505</v>
      </c>
      <c r="G381" s="64">
        <v>0.5</v>
      </c>
      <c r="H381" s="59">
        <f t="shared" si="1"/>
        <v>54504.505</v>
      </c>
      <c r="I381" s="39"/>
      <c r="J381" s="39"/>
      <c r="K381" s="60">
        <f t="shared" si="2"/>
        <v>0</v>
      </c>
      <c r="L381" s="39"/>
      <c r="M381" s="59">
        <f t="shared" si="3"/>
        <v>0</v>
      </c>
      <c r="N381" s="69">
        <v>0.5</v>
      </c>
      <c r="O381" s="62">
        <f t="shared" si="4"/>
        <v>0</v>
      </c>
      <c r="P381" s="1"/>
      <c r="Q381" s="64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4">
        <v>374.0</v>
      </c>
      <c r="C382" s="56" t="s">
        <v>422</v>
      </c>
      <c r="D382" s="67">
        <v>91377.48</v>
      </c>
      <c r="E382" s="64">
        <v>1.0</v>
      </c>
      <c r="F382" s="59">
        <f t="shared" si="6"/>
        <v>91377.48</v>
      </c>
      <c r="G382" s="64">
        <v>1.0</v>
      </c>
      <c r="H382" s="59">
        <f t="shared" si="1"/>
        <v>91377.48</v>
      </c>
      <c r="I382" s="39"/>
      <c r="J382" s="39"/>
      <c r="K382" s="60">
        <f t="shared" si="2"/>
        <v>0</v>
      </c>
      <c r="L382" s="39"/>
      <c r="M382" s="59">
        <f t="shared" si="3"/>
        <v>0</v>
      </c>
      <c r="N382" s="69">
        <v>1.0</v>
      </c>
      <c r="O382" s="62">
        <f t="shared" si="4"/>
        <v>0</v>
      </c>
      <c r="P382" s="1"/>
      <c r="Q382" s="64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4">
        <v>375.0</v>
      </c>
      <c r="C383" s="56" t="s">
        <v>423</v>
      </c>
      <c r="D383" s="67">
        <v>109009.01</v>
      </c>
      <c r="E383" s="64">
        <v>2.0</v>
      </c>
      <c r="F383" s="59">
        <f t="shared" si="6"/>
        <v>218018.02</v>
      </c>
      <c r="G383" s="64">
        <v>2.0</v>
      </c>
      <c r="H383" s="59">
        <f t="shared" si="1"/>
        <v>218018.02</v>
      </c>
      <c r="I383" s="39"/>
      <c r="J383" s="39"/>
      <c r="K383" s="60">
        <f t="shared" si="2"/>
        <v>0</v>
      </c>
      <c r="L383" s="39"/>
      <c r="M383" s="59">
        <f t="shared" si="3"/>
        <v>0</v>
      </c>
      <c r="N383" s="69">
        <v>2.0</v>
      </c>
      <c r="O383" s="62">
        <f t="shared" si="4"/>
        <v>0</v>
      </c>
      <c r="P383" s="1"/>
      <c r="Q383" s="64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4">
        <v>376.0</v>
      </c>
      <c r="C384" s="56" t="s">
        <v>424</v>
      </c>
      <c r="D384" s="67">
        <v>6500.0</v>
      </c>
      <c r="E384" s="64">
        <v>50.0</v>
      </c>
      <c r="F384" s="59">
        <f t="shared" si="6"/>
        <v>325000</v>
      </c>
      <c r="G384" s="64">
        <v>50.0</v>
      </c>
      <c r="H384" s="59">
        <f t="shared" si="1"/>
        <v>325000</v>
      </c>
      <c r="I384" s="39"/>
      <c r="J384" s="39"/>
      <c r="K384" s="60">
        <f t="shared" si="2"/>
        <v>0</v>
      </c>
      <c r="L384" s="39"/>
      <c r="M384" s="59">
        <f t="shared" si="3"/>
        <v>0</v>
      </c>
      <c r="N384" s="69">
        <v>50.0</v>
      </c>
      <c r="O384" s="62">
        <f t="shared" si="4"/>
        <v>0</v>
      </c>
      <c r="P384" s="1"/>
      <c r="Q384" s="64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4">
        <v>377.0</v>
      </c>
      <c r="C385" s="56" t="s">
        <v>425</v>
      </c>
      <c r="D385" s="67">
        <v>6500.0</v>
      </c>
      <c r="E385" s="64">
        <v>100.0</v>
      </c>
      <c r="F385" s="59">
        <f t="shared" si="6"/>
        <v>650000</v>
      </c>
      <c r="G385" s="64">
        <v>100.0</v>
      </c>
      <c r="H385" s="59">
        <f t="shared" si="1"/>
        <v>650000</v>
      </c>
      <c r="I385" s="39"/>
      <c r="J385" s="39"/>
      <c r="K385" s="60">
        <f t="shared" si="2"/>
        <v>0</v>
      </c>
      <c r="L385" s="39"/>
      <c r="M385" s="59">
        <f t="shared" si="3"/>
        <v>0</v>
      </c>
      <c r="N385" s="69">
        <v>100.0</v>
      </c>
      <c r="O385" s="62">
        <f t="shared" si="4"/>
        <v>0</v>
      </c>
      <c r="P385" s="1"/>
      <c r="Q385" s="64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4">
        <v>378.0</v>
      </c>
      <c r="C386" s="56" t="s">
        <v>426</v>
      </c>
      <c r="D386" s="67">
        <v>148648.65</v>
      </c>
      <c r="E386" s="64">
        <v>0.9</v>
      </c>
      <c r="F386" s="59">
        <f t="shared" si="6"/>
        <v>133783.785</v>
      </c>
      <c r="G386" s="64">
        <v>0.9</v>
      </c>
      <c r="H386" s="59">
        <f t="shared" si="1"/>
        <v>133783.785</v>
      </c>
      <c r="I386" s="39"/>
      <c r="J386" s="39"/>
      <c r="K386" s="60">
        <f t="shared" si="2"/>
        <v>0</v>
      </c>
      <c r="L386" s="39"/>
      <c r="M386" s="59">
        <f t="shared" si="3"/>
        <v>0</v>
      </c>
      <c r="N386" s="69">
        <v>0.9</v>
      </c>
      <c r="O386" s="62">
        <f t="shared" si="4"/>
        <v>0</v>
      </c>
      <c r="P386" s="1"/>
      <c r="Q386" s="64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4">
        <v>379.0</v>
      </c>
      <c r="C387" s="56" t="s">
        <v>427</v>
      </c>
      <c r="D387" s="67">
        <v>153153.15</v>
      </c>
      <c r="E387" s="64">
        <v>0.15</v>
      </c>
      <c r="F387" s="59">
        <f t="shared" si="6"/>
        <v>22972.9725</v>
      </c>
      <c r="G387" s="64">
        <v>0.15</v>
      </c>
      <c r="H387" s="59">
        <f t="shared" si="1"/>
        <v>22972.9725</v>
      </c>
      <c r="I387" s="39"/>
      <c r="J387" s="39"/>
      <c r="K387" s="60">
        <f t="shared" si="2"/>
        <v>0</v>
      </c>
      <c r="L387" s="39"/>
      <c r="M387" s="59">
        <f t="shared" si="3"/>
        <v>0</v>
      </c>
      <c r="N387" s="69">
        <v>0.15000000000000036</v>
      </c>
      <c r="O387" s="62">
        <f t="shared" si="4"/>
        <v>0</v>
      </c>
      <c r="P387" s="1"/>
      <c r="Q387" s="64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4">
        <v>380.0</v>
      </c>
      <c r="C388" s="56" t="s">
        <v>428</v>
      </c>
      <c r="D388" s="67">
        <v>107207.21</v>
      </c>
      <c r="E388" s="64">
        <v>0.0</v>
      </c>
      <c r="F388" s="59">
        <f t="shared" si="6"/>
        <v>0</v>
      </c>
      <c r="G388" s="64">
        <v>0.0</v>
      </c>
      <c r="H388" s="59">
        <f t="shared" si="1"/>
        <v>0</v>
      </c>
      <c r="I388" s="39"/>
      <c r="J388" s="39"/>
      <c r="K388" s="60">
        <f t="shared" si="2"/>
        <v>0</v>
      </c>
      <c r="L388" s="39"/>
      <c r="M388" s="59">
        <f t="shared" si="3"/>
        <v>0</v>
      </c>
      <c r="N388" s="69">
        <v>0.0</v>
      </c>
      <c r="O388" s="62">
        <f t="shared" si="4"/>
        <v>0</v>
      </c>
      <c r="P388" s="1"/>
      <c r="Q388" s="64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4">
        <v>381.0</v>
      </c>
      <c r="C389" s="56" t="s">
        <v>429</v>
      </c>
      <c r="D389" s="67">
        <v>84684.68</v>
      </c>
      <c r="E389" s="64">
        <v>3.0</v>
      </c>
      <c r="F389" s="59">
        <f t="shared" si="6"/>
        <v>254054.04</v>
      </c>
      <c r="G389" s="64">
        <v>3.0</v>
      </c>
      <c r="H389" s="59">
        <f t="shared" si="1"/>
        <v>254054.04</v>
      </c>
      <c r="I389" s="39"/>
      <c r="J389" s="39"/>
      <c r="K389" s="60">
        <f t="shared" si="2"/>
        <v>0</v>
      </c>
      <c r="L389" s="39"/>
      <c r="M389" s="59">
        <f t="shared" si="3"/>
        <v>0</v>
      </c>
      <c r="N389" s="69">
        <v>3.0</v>
      </c>
      <c r="O389" s="62">
        <f t="shared" si="4"/>
        <v>0</v>
      </c>
      <c r="P389" s="1"/>
      <c r="Q389" s="64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4">
        <v>382.0</v>
      </c>
      <c r="C390" s="56" t="s">
        <v>430</v>
      </c>
      <c r="D390" s="72">
        <v>200000.0</v>
      </c>
      <c r="E390" s="64">
        <v>0.65</v>
      </c>
      <c r="F390" s="59">
        <f t="shared" si="6"/>
        <v>130000</v>
      </c>
      <c r="G390" s="64">
        <v>0.65</v>
      </c>
      <c r="H390" s="59">
        <f t="shared" si="1"/>
        <v>130000</v>
      </c>
      <c r="I390" s="39"/>
      <c r="J390" s="39"/>
      <c r="K390" s="60">
        <f t="shared" si="2"/>
        <v>0</v>
      </c>
      <c r="L390" s="39"/>
      <c r="M390" s="59">
        <f t="shared" si="3"/>
        <v>0</v>
      </c>
      <c r="N390" s="69">
        <v>0.65</v>
      </c>
      <c r="O390" s="62">
        <f t="shared" si="4"/>
        <v>0</v>
      </c>
      <c r="P390" s="1"/>
      <c r="Q390" s="64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4">
        <v>383.0</v>
      </c>
      <c r="C391" s="56" t="s">
        <v>431</v>
      </c>
      <c r="D391" s="70">
        <f>110000/1.11</f>
        <v>99099.0991</v>
      </c>
      <c r="E391" s="64">
        <v>0.3</v>
      </c>
      <c r="F391" s="59">
        <f t="shared" si="6"/>
        <v>29729.72973</v>
      </c>
      <c r="G391" s="64">
        <v>0.3</v>
      </c>
      <c r="H391" s="59">
        <f t="shared" si="1"/>
        <v>29729.72973</v>
      </c>
      <c r="I391" s="39"/>
      <c r="J391" s="39"/>
      <c r="K391" s="60">
        <f t="shared" si="2"/>
        <v>0</v>
      </c>
      <c r="L391" s="39"/>
      <c r="M391" s="59">
        <f t="shared" si="3"/>
        <v>0</v>
      </c>
      <c r="N391" s="69">
        <v>0.29999999999999993</v>
      </c>
      <c r="O391" s="62">
        <f t="shared" si="4"/>
        <v>0</v>
      </c>
      <c r="P391" s="1"/>
      <c r="Q391" s="64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4">
        <v>384.0</v>
      </c>
      <c r="C392" s="56" t="s">
        <v>432</v>
      </c>
      <c r="D392" s="67">
        <v>83783.78</v>
      </c>
      <c r="E392" s="64">
        <v>0.5</v>
      </c>
      <c r="F392" s="59">
        <f t="shared" si="6"/>
        <v>41891.89</v>
      </c>
      <c r="G392" s="64">
        <v>0.5</v>
      </c>
      <c r="H392" s="59">
        <f t="shared" si="1"/>
        <v>41891.89</v>
      </c>
      <c r="I392" s="39"/>
      <c r="J392" s="39"/>
      <c r="K392" s="60">
        <f t="shared" si="2"/>
        <v>0</v>
      </c>
      <c r="L392" s="39"/>
      <c r="M392" s="59">
        <f t="shared" si="3"/>
        <v>0</v>
      </c>
      <c r="N392" s="69">
        <v>0.5</v>
      </c>
      <c r="O392" s="62">
        <f t="shared" si="4"/>
        <v>0</v>
      </c>
      <c r="P392" s="1"/>
      <c r="Q392" s="64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4">
        <v>385.0</v>
      </c>
      <c r="C393" s="56" t="s">
        <v>433</v>
      </c>
      <c r="D393" s="70"/>
      <c r="E393" s="64">
        <v>0.0</v>
      </c>
      <c r="F393" s="59">
        <f t="shared" si="6"/>
        <v>0</v>
      </c>
      <c r="G393" s="64">
        <v>0.0</v>
      </c>
      <c r="H393" s="59">
        <f t="shared" si="1"/>
        <v>0</v>
      </c>
      <c r="I393" s="39"/>
      <c r="J393" s="39"/>
      <c r="K393" s="60">
        <f t="shared" si="2"/>
        <v>0</v>
      </c>
      <c r="L393" s="39"/>
      <c r="M393" s="59">
        <f t="shared" si="3"/>
        <v>0</v>
      </c>
      <c r="N393" s="69">
        <v>0.0</v>
      </c>
      <c r="O393" s="62">
        <f t="shared" si="4"/>
        <v>0</v>
      </c>
      <c r="P393" s="1"/>
      <c r="Q393" s="64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4">
        <v>386.0</v>
      </c>
      <c r="C394" s="56" t="s">
        <v>434</v>
      </c>
      <c r="D394" s="63">
        <f>175000/1.11</f>
        <v>157657.6577</v>
      </c>
      <c r="E394" s="64">
        <v>3.4</v>
      </c>
      <c r="F394" s="59">
        <f t="shared" si="6"/>
        <v>536036.036</v>
      </c>
      <c r="G394" s="64">
        <v>3.4</v>
      </c>
      <c r="H394" s="59">
        <f t="shared" si="1"/>
        <v>536036.036</v>
      </c>
      <c r="I394" s="39"/>
      <c r="J394" s="39"/>
      <c r="K394" s="60">
        <f t="shared" si="2"/>
        <v>0</v>
      </c>
      <c r="L394" s="39"/>
      <c r="M394" s="59">
        <f t="shared" si="3"/>
        <v>0</v>
      </c>
      <c r="N394" s="69">
        <v>3.4</v>
      </c>
      <c r="O394" s="62">
        <f t="shared" si="4"/>
        <v>0</v>
      </c>
      <c r="P394" s="1"/>
      <c r="Q394" s="64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4">
        <v>387.0</v>
      </c>
      <c r="C395" s="56" t="s">
        <v>435</v>
      </c>
      <c r="D395" s="63">
        <f>387634/1.11</f>
        <v>349219.8198</v>
      </c>
      <c r="E395" s="64">
        <v>1.85</v>
      </c>
      <c r="F395" s="59">
        <f t="shared" si="6"/>
        <v>646056.6667</v>
      </c>
      <c r="G395" s="64">
        <v>1.85</v>
      </c>
      <c r="H395" s="59">
        <f t="shared" si="1"/>
        <v>646056.6667</v>
      </c>
      <c r="I395" s="39"/>
      <c r="J395" s="39"/>
      <c r="K395" s="60">
        <f t="shared" si="2"/>
        <v>0</v>
      </c>
      <c r="L395" s="39"/>
      <c r="M395" s="59">
        <f t="shared" si="3"/>
        <v>0</v>
      </c>
      <c r="N395" s="69">
        <v>1.8499999999999999</v>
      </c>
      <c r="O395" s="62">
        <f t="shared" si="4"/>
        <v>0</v>
      </c>
      <c r="P395" s="1"/>
      <c r="Q395" s="64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4">
        <v>388.0</v>
      </c>
      <c r="C396" s="56" t="s">
        <v>436</v>
      </c>
      <c r="D396" s="67">
        <v>157657.66</v>
      </c>
      <c r="E396" s="64">
        <v>0.0</v>
      </c>
      <c r="F396" s="59">
        <f t="shared" si="6"/>
        <v>0</v>
      </c>
      <c r="G396" s="64">
        <v>0.0</v>
      </c>
      <c r="H396" s="59">
        <f t="shared" si="1"/>
        <v>0</v>
      </c>
      <c r="I396" s="39"/>
      <c r="J396" s="39"/>
      <c r="K396" s="60">
        <f t="shared" si="2"/>
        <v>0</v>
      </c>
      <c r="L396" s="39"/>
      <c r="M396" s="59">
        <f t="shared" si="3"/>
        <v>0</v>
      </c>
      <c r="N396" s="61">
        <v>0.0</v>
      </c>
      <c r="O396" s="62">
        <f t="shared" si="4"/>
        <v>0</v>
      </c>
      <c r="P396" s="1"/>
      <c r="Q396" s="64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4">
        <v>389.0</v>
      </c>
      <c r="C397" s="56" t="s">
        <v>437</v>
      </c>
      <c r="D397" s="67">
        <v>157657.66</v>
      </c>
      <c r="E397" s="64">
        <v>0.0</v>
      </c>
      <c r="F397" s="59">
        <f t="shared" si="6"/>
        <v>0</v>
      </c>
      <c r="G397" s="64">
        <v>0.0</v>
      </c>
      <c r="H397" s="59">
        <f t="shared" si="1"/>
        <v>0</v>
      </c>
      <c r="I397" s="39"/>
      <c r="J397" s="39"/>
      <c r="K397" s="60">
        <f t="shared" si="2"/>
        <v>0</v>
      </c>
      <c r="L397" s="39"/>
      <c r="M397" s="59">
        <f t="shared" si="3"/>
        <v>0</v>
      </c>
      <c r="N397" s="61">
        <v>0.0</v>
      </c>
      <c r="O397" s="62">
        <f t="shared" si="4"/>
        <v>0</v>
      </c>
      <c r="P397" s="1"/>
      <c r="Q397" s="64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4">
        <v>390.0</v>
      </c>
      <c r="C398" s="56" t="s">
        <v>438</v>
      </c>
      <c r="D398" s="67">
        <v>157657.66</v>
      </c>
      <c r="E398" s="64">
        <v>0.6</v>
      </c>
      <c r="F398" s="59">
        <f t="shared" si="6"/>
        <v>94594.596</v>
      </c>
      <c r="G398" s="64">
        <v>0.6</v>
      </c>
      <c r="H398" s="59">
        <f t="shared" si="1"/>
        <v>94594.596</v>
      </c>
      <c r="I398" s="39"/>
      <c r="J398" s="39"/>
      <c r="K398" s="60">
        <f t="shared" si="2"/>
        <v>0</v>
      </c>
      <c r="L398" s="39"/>
      <c r="M398" s="59">
        <f t="shared" si="3"/>
        <v>0</v>
      </c>
      <c r="N398" s="61">
        <v>0.6</v>
      </c>
      <c r="O398" s="62">
        <f t="shared" si="4"/>
        <v>0</v>
      </c>
      <c r="P398" s="1"/>
      <c r="Q398" s="64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4">
        <v>391.0</v>
      </c>
      <c r="C399" s="56" t="s">
        <v>439</v>
      </c>
      <c r="D399" s="63">
        <v>530000.0</v>
      </c>
      <c r="E399" s="64">
        <v>165.0</v>
      </c>
      <c r="F399" s="59">
        <f t="shared" si="6"/>
        <v>87450000</v>
      </c>
      <c r="G399" s="64">
        <v>165.0</v>
      </c>
      <c r="H399" s="59">
        <f t="shared" si="1"/>
        <v>87450000</v>
      </c>
      <c r="I399" s="39"/>
      <c r="J399" s="39"/>
      <c r="K399" s="60">
        <f t="shared" si="2"/>
        <v>0</v>
      </c>
      <c r="L399" s="39"/>
      <c r="M399" s="59">
        <f t="shared" si="3"/>
        <v>0</v>
      </c>
      <c r="N399" s="68">
        <v>165.0</v>
      </c>
      <c r="O399" s="62">
        <f t="shared" si="4"/>
        <v>0</v>
      </c>
      <c r="P399" s="1"/>
      <c r="Q399" s="64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4">
        <v>392.0</v>
      </c>
      <c r="C400" s="56" t="s">
        <v>440</v>
      </c>
      <c r="D400" s="67">
        <v>3700000.0</v>
      </c>
      <c r="E400" s="64">
        <v>12.0</v>
      </c>
      <c r="F400" s="59">
        <f t="shared" si="6"/>
        <v>44400000</v>
      </c>
      <c r="G400" s="64">
        <v>12.0</v>
      </c>
      <c r="H400" s="59">
        <f t="shared" si="1"/>
        <v>44400000</v>
      </c>
      <c r="I400" s="39"/>
      <c r="J400" s="39"/>
      <c r="K400" s="60">
        <f t="shared" si="2"/>
        <v>0</v>
      </c>
      <c r="L400" s="39"/>
      <c r="M400" s="59">
        <f t="shared" si="3"/>
        <v>0</v>
      </c>
      <c r="N400" s="61">
        <v>12.0</v>
      </c>
      <c r="O400" s="62">
        <f t="shared" si="4"/>
        <v>0</v>
      </c>
      <c r="P400" s="1"/>
      <c r="Q400" s="64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4">
        <v>393.0</v>
      </c>
      <c r="C401" s="56" t="s">
        <v>441</v>
      </c>
      <c r="D401" s="67">
        <v>1650000.0</v>
      </c>
      <c r="E401" s="64">
        <v>2.0</v>
      </c>
      <c r="F401" s="59">
        <f t="shared" si="6"/>
        <v>3300000</v>
      </c>
      <c r="G401" s="64">
        <v>2.0</v>
      </c>
      <c r="H401" s="59">
        <f t="shared" si="1"/>
        <v>3300000</v>
      </c>
      <c r="I401" s="39"/>
      <c r="J401" s="39"/>
      <c r="K401" s="60">
        <f t="shared" si="2"/>
        <v>0</v>
      </c>
      <c r="L401" s="39"/>
      <c r="M401" s="59">
        <f t="shared" si="3"/>
        <v>0</v>
      </c>
      <c r="N401" s="61">
        <v>2.0</v>
      </c>
      <c r="O401" s="62">
        <f t="shared" si="4"/>
        <v>0</v>
      </c>
      <c r="P401" s="1"/>
      <c r="Q401" s="64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4">
        <v>394.0</v>
      </c>
      <c r="C402" s="56" t="s">
        <v>442</v>
      </c>
      <c r="D402" s="67">
        <v>1500000.0</v>
      </c>
      <c r="E402" s="64">
        <v>5.0</v>
      </c>
      <c r="F402" s="59">
        <f t="shared" si="6"/>
        <v>7500000</v>
      </c>
      <c r="G402" s="64">
        <v>5.0</v>
      </c>
      <c r="H402" s="59">
        <f t="shared" si="1"/>
        <v>7500000</v>
      </c>
      <c r="I402" s="39"/>
      <c r="J402" s="39"/>
      <c r="K402" s="60">
        <f t="shared" si="2"/>
        <v>0</v>
      </c>
      <c r="L402" s="39"/>
      <c r="M402" s="59">
        <f t="shared" si="3"/>
        <v>0</v>
      </c>
      <c r="N402" s="61">
        <v>5.0</v>
      </c>
      <c r="O402" s="62">
        <f t="shared" si="4"/>
        <v>0</v>
      </c>
      <c r="P402" s="1"/>
      <c r="Q402" s="64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4">
        <v>395.0</v>
      </c>
      <c r="C403" s="56" t="s">
        <v>443</v>
      </c>
      <c r="D403" s="67">
        <v>1200000.0</v>
      </c>
      <c r="E403" s="64">
        <v>1.0</v>
      </c>
      <c r="F403" s="59">
        <f t="shared" si="6"/>
        <v>1200000</v>
      </c>
      <c r="G403" s="64">
        <v>1.0</v>
      </c>
      <c r="H403" s="59">
        <f t="shared" si="1"/>
        <v>1200000</v>
      </c>
      <c r="I403" s="39"/>
      <c r="J403" s="39"/>
      <c r="K403" s="60">
        <f t="shared" si="2"/>
        <v>0</v>
      </c>
      <c r="L403" s="39"/>
      <c r="M403" s="59">
        <f t="shared" si="3"/>
        <v>0</v>
      </c>
      <c r="N403" s="61">
        <v>1.0</v>
      </c>
      <c r="O403" s="62">
        <f t="shared" si="4"/>
        <v>0</v>
      </c>
      <c r="P403" s="1"/>
      <c r="Q403" s="64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4">
        <v>396.0</v>
      </c>
      <c r="C404" s="56" t="s">
        <v>444</v>
      </c>
      <c r="D404" s="67">
        <v>1130000.0</v>
      </c>
      <c r="E404" s="64">
        <v>8.0</v>
      </c>
      <c r="F404" s="59">
        <f t="shared" si="6"/>
        <v>9040000</v>
      </c>
      <c r="G404" s="64">
        <v>8.0</v>
      </c>
      <c r="H404" s="59">
        <f t="shared" si="1"/>
        <v>9040000</v>
      </c>
      <c r="I404" s="39"/>
      <c r="J404" s="39"/>
      <c r="K404" s="60">
        <f t="shared" si="2"/>
        <v>0</v>
      </c>
      <c r="L404" s="39"/>
      <c r="M404" s="59">
        <f t="shared" si="3"/>
        <v>0</v>
      </c>
      <c r="N404" s="61">
        <v>8.0</v>
      </c>
      <c r="O404" s="62">
        <f t="shared" si="4"/>
        <v>0</v>
      </c>
      <c r="P404" s="1"/>
      <c r="Q404" s="64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4">
        <v>397.0</v>
      </c>
      <c r="C405" s="56" t="s">
        <v>445</v>
      </c>
      <c r="D405" s="67">
        <v>670000.0</v>
      </c>
      <c r="E405" s="64">
        <v>30.0</v>
      </c>
      <c r="F405" s="59">
        <f t="shared" si="6"/>
        <v>20100000</v>
      </c>
      <c r="G405" s="64">
        <v>30.0</v>
      </c>
      <c r="H405" s="59">
        <f t="shared" si="1"/>
        <v>20100000</v>
      </c>
      <c r="I405" s="39"/>
      <c r="J405" s="39"/>
      <c r="K405" s="60">
        <f t="shared" si="2"/>
        <v>0</v>
      </c>
      <c r="L405" s="39"/>
      <c r="M405" s="59">
        <f t="shared" si="3"/>
        <v>0</v>
      </c>
      <c r="N405" s="61">
        <v>30.0</v>
      </c>
      <c r="O405" s="62">
        <f t="shared" si="4"/>
        <v>0</v>
      </c>
      <c r="P405" s="1"/>
      <c r="Q405" s="64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4">
        <v>398.0</v>
      </c>
      <c r="C406" s="56" t="s">
        <v>446</v>
      </c>
      <c r="D406" s="67"/>
      <c r="E406" s="64">
        <v>2.0</v>
      </c>
      <c r="F406" s="59">
        <f t="shared" si="6"/>
        <v>0</v>
      </c>
      <c r="G406" s="64">
        <v>2.0</v>
      </c>
      <c r="H406" s="59">
        <f t="shared" si="1"/>
        <v>0</v>
      </c>
      <c r="I406" s="39"/>
      <c r="J406" s="39"/>
      <c r="K406" s="60">
        <f t="shared" si="2"/>
        <v>0</v>
      </c>
      <c r="L406" s="39"/>
      <c r="M406" s="59">
        <f t="shared" si="3"/>
        <v>0</v>
      </c>
      <c r="N406" s="61">
        <v>2.0</v>
      </c>
      <c r="O406" s="62">
        <f t="shared" si="4"/>
        <v>0</v>
      </c>
      <c r="P406" s="1"/>
      <c r="Q406" s="64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4">
        <v>399.0</v>
      </c>
      <c r="C407" s="56" t="s">
        <v>447</v>
      </c>
      <c r="D407" s="63">
        <v>2725000.0</v>
      </c>
      <c r="E407" s="64">
        <v>9.0</v>
      </c>
      <c r="F407" s="59">
        <f t="shared" si="6"/>
        <v>24525000</v>
      </c>
      <c r="G407" s="64">
        <v>9.0</v>
      </c>
      <c r="H407" s="59">
        <f t="shared" si="1"/>
        <v>24525000</v>
      </c>
      <c r="I407" s="39"/>
      <c r="J407" s="39"/>
      <c r="K407" s="60">
        <f t="shared" si="2"/>
        <v>0</v>
      </c>
      <c r="L407" s="39"/>
      <c r="M407" s="59">
        <f t="shared" si="3"/>
        <v>0</v>
      </c>
      <c r="N407" s="61">
        <v>9.0</v>
      </c>
      <c r="O407" s="62">
        <f t="shared" si="4"/>
        <v>0</v>
      </c>
      <c r="P407" s="1"/>
      <c r="Q407" s="64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4">
        <v>400.0</v>
      </c>
      <c r="C408" s="56" t="s">
        <v>448</v>
      </c>
      <c r="D408" s="67">
        <v>179279.0</v>
      </c>
      <c r="E408" s="64">
        <v>4.0</v>
      </c>
      <c r="F408" s="59">
        <f t="shared" si="6"/>
        <v>717116</v>
      </c>
      <c r="G408" s="64">
        <v>4.0</v>
      </c>
      <c r="H408" s="59">
        <f t="shared" si="1"/>
        <v>717116</v>
      </c>
      <c r="I408" s="39"/>
      <c r="J408" s="39"/>
      <c r="K408" s="60">
        <f t="shared" si="2"/>
        <v>0</v>
      </c>
      <c r="L408" s="39"/>
      <c r="M408" s="59">
        <f t="shared" si="3"/>
        <v>0</v>
      </c>
      <c r="N408" s="61">
        <v>4.0</v>
      </c>
      <c r="O408" s="62">
        <f t="shared" si="4"/>
        <v>0</v>
      </c>
      <c r="P408" s="1"/>
      <c r="Q408" s="64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4">
        <v>401.0</v>
      </c>
      <c r="C409" s="56" t="s">
        <v>449</v>
      </c>
      <c r="D409" s="63">
        <v>625000.0</v>
      </c>
      <c r="E409" s="64">
        <v>1.0</v>
      </c>
      <c r="F409" s="59">
        <f t="shared" si="6"/>
        <v>625000</v>
      </c>
      <c r="G409" s="64">
        <v>1.0</v>
      </c>
      <c r="H409" s="59">
        <f t="shared" si="1"/>
        <v>625000</v>
      </c>
      <c r="I409" s="39"/>
      <c r="J409" s="39"/>
      <c r="K409" s="60">
        <f t="shared" si="2"/>
        <v>0</v>
      </c>
      <c r="L409" s="39"/>
      <c r="M409" s="59">
        <f t="shared" si="3"/>
        <v>0</v>
      </c>
      <c r="N409" s="61">
        <v>1.0</v>
      </c>
      <c r="O409" s="62">
        <f t="shared" si="4"/>
        <v>0</v>
      </c>
      <c r="P409" s="1"/>
      <c r="Q409" s="64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4">
        <v>402.0</v>
      </c>
      <c r="C410" s="56" t="s">
        <v>450</v>
      </c>
      <c r="D410" s="63">
        <v>2100000.0</v>
      </c>
      <c r="E410" s="56">
        <v>0.0</v>
      </c>
      <c r="F410" s="59">
        <f t="shared" si="6"/>
        <v>0</v>
      </c>
      <c r="G410" s="56">
        <v>0.0</v>
      </c>
      <c r="H410" s="59">
        <f t="shared" si="1"/>
        <v>0</v>
      </c>
      <c r="I410" s="39"/>
      <c r="J410" s="39"/>
      <c r="K410" s="60">
        <f t="shared" si="2"/>
        <v>0</v>
      </c>
      <c r="L410" s="39"/>
      <c r="M410" s="59">
        <f t="shared" si="3"/>
        <v>0</v>
      </c>
      <c r="N410" s="61">
        <v>0.0</v>
      </c>
      <c r="O410" s="62">
        <f t="shared" si="4"/>
        <v>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4">
        <v>403.0</v>
      </c>
      <c r="C411" s="56" t="s">
        <v>451</v>
      </c>
      <c r="D411" s="67">
        <v>630630.63</v>
      </c>
      <c r="E411" s="56">
        <v>0.0</v>
      </c>
      <c r="F411" s="59">
        <f t="shared" si="6"/>
        <v>0</v>
      </c>
      <c r="G411" s="56">
        <v>0.0</v>
      </c>
      <c r="H411" s="59">
        <f t="shared" si="1"/>
        <v>0</v>
      </c>
      <c r="I411" s="39"/>
      <c r="J411" s="39"/>
      <c r="K411" s="60">
        <f t="shared" si="2"/>
        <v>0</v>
      </c>
      <c r="L411" s="39"/>
      <c r="M411" s="59">
        <f t="shared" si="3"/>
        <v>0</v>
      </c>
      <c r="N411" s="61">
        <v>0.0</v>
      </c>
      <c r="O411" s="62">
        <f t="shared" si="4"/>
        <v>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4">
        <v>404.0</v>
      </c>
      <c r="C412" s="56" t="s">
        <v>452</v>
      </c>
      <c r="D412" s="67">
        <v>1.1475E7</v>
      </c>
      <c r="E412" s="56">
        <v>0.0</v>
      </c>
      <c r="F412" s="59">
        <f t="shared" si="6"/>
        <v>0</v>
      </c>
      <c r="G412" s="56">
        <v>0.0</v>
      </c>
      <c r="H412" s="59">
        <f t="shared" si="1"/>
        <v>0</v>
      </c>
      <c r="I412" s="39"/>
      <c r="J412" s="39"/>
      <c r="K412" s="60">
        <f t="shared" si="2"/>
        <v>0</v>
      </c>
      <c r="L412" s="39"/>
      <c r="M412" s="59">
        <f t="shared" si="3"/>
        <v>0</v>
      </c>
      <c r="N412" s="61">
        <v>0.0</v>
      </c>
      <c r="O412" s="62">
        <f t="shared" si="4"/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4">
        <v>405.0</v>
      </c>
      <c r="C413" s="56" t="s">
        <v>453</v>
      </c>
      <c r="D413" s="67">
        <f>265000/1.11</f>
        <v>238738.7387</v>
      </c>
      <c r="E413" s="56">
        <v>1.0</v>
      </c>
      <c r="F413" s="59">
        <f t="shared" si="6"/>
        <v>238738.7387</v>
      </c>
      <c r="G413" s="56">
        <v>1.0</v>
      </c>
      <c r="H413" s="59">
        <f t="shared" si="1"/>
        <v>238738.7387</v>
      </c>
      <c r="I413" s="39"/>
      <c r="J413" s="39"/>
      <c r="K413" s="60">
        <f t="shared" si="2"/>
        <v>0</v>
      </c>
      <c r="L413" s="39"/>
      <c r="M413" s="59">
        <f t="shared" si="3"/>
        <v>0</v>
      </c>
      <c r="N413" s="61">
        <v>1.0</v>
      </c>
      <c r="O413" s="62">
        <f t="shared" si="4"/>
        <v>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4">
        <v>406.0</v>
      </c>
      <c r="C414" s="56" t="s">
        <v>454</v>
      </c>
      <c r="D414" s="63">
        <v>725000.0</v>
      </c>
      <c r="E414" s="56">
        <v>1.0</v>
      </c>
      <c r="F414" s="59">
        <f t="shared" si="6"/>
        <v>725000</v>
      </c>
      <c r="G414" s="56">
        <v>1.0</v>
      </c>
      <c r="H414" s="59">
        <f t="shared" si="1"/>
        <v>725000</v>
      </c>
      <c r="I414" s="39"/>
      <c r="J414" s="39"/>
      <c r="K414" s="60">
        <f t="shared" si="2"/>
        <v>0</v>
      </c>
      <c r="L414" s="39"/>
      <c r="M414" s="59">
        <f t="shared" si="3"/>
        <v>0</v>
      </c>
      <c r="N414" s="61">
        <v>1.0</v>
      </c>
      <c r="O414" s="62">
        <f t="shared" si="4"/>
        <v>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4">
        <v>407.0</v>
      </c>
      <c r="C415" s="56" t="s">
        <v>455</v>
      </c>
      <c r="D415" s="72">
        <v>400000.0</v>
      </c>
      <c r="E415" s="56">
        <v>2.0</v>
      </c>
      <c r="F415" s="59">
        <f t="shared" si="6"/>
        <v>800000</v>
      </c>
      <c r="G415" s="56">
        <v>2.0</v>
      </c>
      <c r="H415" s="59">
        <f t="shared" si="1"/>
        <v>800000</v>
      </c>
      <c r="I415" s="39"/>
      <c r="J415" s="39"/>
      <c r="K415" s="60">
        <f t="shared" si="2"/>
        <v>0</v>
      </c>
      <c r="L415" s="39"/>
      <c r="M415" s="59">
        <f t="shared" si="3"/>
        <v>0</v>
      </c>
      <c r="N415" s="61">
        <v>2.0</v>
      </c>
      <c r="O415" s="62">
        <f t="shared" si="4"/>
        <v>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4">
        <v>408.0</v>
      </c>
      <c r="C416" s="56" t="s">
        <v>456</v>
      </c>
      <c r="D416" s="72">
        <v>400000.0</v>
      </c>
      <c r="E416" s="56">
        <v>2.0</v>
      </c>
      <c r="F416" s="59">
        <f t="shared" si="6"/>
        <v>800000</v>
      </c>
      <c r="G416" s="56">
        <v>2.0</v>
      </c>
      <c r="H416" s="59">
        <f t="shared" si="1"/>
        <v>800000</v>
      </c>
      <c r="I416" s="39"/>
      <c r="J416" s="39"/>
      <c r="K416" s="60">
        <f t="shared" si="2"/>
        <v>0</v>
      </c>
      <c r="L416" s="39"/>
      <c r="M416" s="59">
        <f t="shared" si="3"/>
        <v>0</v>
      </c>
      <c r="N416" s="61">
        <v>2.0</v>
      </c>
      <c r="O416" s="62">
        <f t="shared" si="4"/>
        <v>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4">
        <v>409.0</v>
      </c>
      <c r="C417" s="56" t="s">
        <v>457</v>
      </c>
      <c r="D417" s="72">
        <v>2280000.0</v>
      </c>
      <c r="E417" s="56">
        <v>1.0</v>
      </c>
      <c r="F417" s="59">
        <f t="shared" si="6"/>
        <v>2280000</v>
      </c>
      <c r="G417" s="56">
        <v>1.0</v>
      </c>
      <c r="H417" s="59">
        <f t="shared" si="1"/>
        <v>2280000</v>
      </c>
      <c r="I417" s="39"/>
      <c r="J417" s="39"/>
      <c r="K417" s="60">
        <f t="shared" si="2"/>
        <v>0</v>
      </c>
      <c r="L417" s="39"/>
      <c r="M417" s="59">
        <f t="shared" si="3"/>
        <v>0</v>
      </c>
      <c r="N417" s="61">
        <v>1.0</v>
      </c>
      <c r="O417" s="62">
        <f t="shared" si="4"/>
        <v>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4">
        <v>410.0</v>
      </c>
      <c r="C418" s="56" t="s">
        <v>458</v>
      </c>
      <c r="D418" s="72">
        <v>1085000.0</v>
      </c>
      <c r="E418" s="56">
        <v>1.0</v>
      </c>
      <c r="F418" s="59">
        <f t="shared" si="6"/>
        <v>1085000</v>
      </c>
      <c r="G418" s="56">
        <v>1.0</v>
      </c>
      <c r="H418" s="59">
        <f t="shared" si="1"/>
        <v>1085000</v>
      </c>
      <c r="I418" s="39"/>
      <c r="J418" s="39"/>
      <c r="K418" s="60">
        <f t="shared" si="2"/>
        <v>0</v>
      </c>
      <c r="L418" s="39"/>
      <c r="M418" s="59">
        <f t="shared" si="3"/>
        <v>0</v>
      </c>
      <c r="N418" s="61">
        <v>1.0</v>
      </c>
      <c r="O418" s="62">
        <f t="shared" si="4"/>
        <v>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4">
        <v>411.0</v>
      </c>
      <c r="C419" s="56" t="s">
        <v>459</v>
      </c>
      <c r="D419" s="72">
        <v>625000.0</v>
      </c>
      <c r="E419" s="56">
        <v>1.0</v>
      </c>
      <c r="F419" s="59">
        <f t="shared" si="6"/>
        <v>625000</v>
      </c>
      <c r="G419" s="56">
        <v>1.0</v>
      </c>
      <c r="H419" s="59">
        <f t="shared" si="1"/>
        <v>625000</v>
      </c>
      <c r="I419" s="39"/>
      <c r="J419" s="39"/>
      <c r="K419" s="60">
        <f t="shared" si="2"/>
        <v>0</v>
      </c>
      <c r="L419" s="39"/>
      <c r="M419" s="59">
        <f t="shared" si="3"/>
        <v>0</v>
      </c>
      <c r="N419" s="61">
        <v>1.0</v>
      </c>
      <c r="O419" s="62">
        <f t="shared" si="4"/>
        <v>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4">
        <v>412.0</v>
      </c>
      <c r="C420" s="56" t="s">
        <v>460</v>
      </c>
      <c r="D420" s="72">
        <v>4700000.0</v>
      </c>
      <c r="E420" s="56">
        <v>3.0</v>
      </c>
      <c r="F420" s="59">
        <f t="shared" si="6"/>
        <v>14100000</v>
      </c>
      <c r="G420" s="56">
        <v>3.0</v>
      </c>
      <c r="H420" s="59">
        <f t="shared" si="1"/>
        <v>14100000</v>
      </c>
      <c r="I420" s="39"/>
      <c r="J420" s="39"/>
      <c r="K420" s="60">
        <f t="shared" si="2"/>
        <v>0</v>
      </c>
      <c r="L420" s="39"/>
      <c r="M420" s="59">
        <f t="shared" si="3"/>
        <v>0</v>
      </c>
      <c r="N420" s="61">
        <v>3.0</v>
      </c>
      <c r="O420" s="62">
        <f t="shared" si="4"/>
        <v>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4">
        <v>413.0</v>
      </c>
      <c r="C421" s="56" t="s">
        <v>461</v>
      </c>
      <c r="D421" s="72">
        <v>3675000.0</v>
      </c>
      <c r="E421" s="56">
        <v>3.0</v>
      </c>
      <c r="F421" s="59">
        <f t="shared" si="6"/>
        <v>11025000</v>
      </c>
      <c r="G421" s="56">
        <v>3.0</v>
      </c>
      <c r="H421" s="59">
        <f t="shared" si="1"/>
        <v>11025000</v>
      </c>
      <c r="I421" s="39"/>
      <c r="J421" s="39"/>
      <c r="K421" s="60">
        <f t="shared" si="2"/>
        <v>0</v>
      </c>
      <c r="L421" s="39"/>
      <c r="M421" s="59">
        <f t="shared" si="3"/>
        <v>0</v>
      </c>
      <c r="N421" s="61">
        <v>3.0</v>
      </c>
      <c r="O421" s="62">
        <f t="shared" si="4"/>
        <v>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4">
        <v>414.0</v>
      </c>
      <c r="C422" s="56" t="s">
        <v>462</v>
      </c>
      <c r="D422" s="72">
        <v>3100000.0</v>
      </c>
      <c r="E422" s="56">
        <v>13.0</v>
      </c>
      <c r="F422" s="59">
        <f t="shared" si="6"/>
        <v>40300000</v>
      </c>
      <c r="G422" s="56">
        <v>13.0</v>
      </c>
      <c r="H422" s="59">
        <f t="shared" si="1"/>
        <v>40300000</v>
      </c>
      <c r="I422" s="39"/>
      <c r="J422" s="39"/>
      <c r="K422" s="60">
        <f t="shared" si="2"/>
        <v>0</v>
      </c>
      <c r="L422" s="39"/>
      <c r="M422" s="59">
        <f t="shared" si="3"/>
        <v>0</v>
      </c>
      <c r="N422" s="61">
        <v>13.0</v>
      </c>
      <c r="O422" s="62">
        <f t="shared" si="4"/>
        <v>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4">
        <v>415.0</v>
      </c>
      <c r="C423" s="56" t="s">
        <v>463</v>
      </c>
      <c r="D423" s="72">
        <v>1850000.0</v>
      </c>
      <c r="E423" s="56">
        <v>1.0</v>
      </c>
      <c r="F423" s="59">
        <f t="shared" si="6"/>
        <v>1850000</v>
      </c>
      <c r="G423" s="56">
        <v>1.0</v>
      </c>
      <c r="H423" s="59">
        <f t="shared" si="1"/>
        <v>1850000</v>
      </c>
      <c r="I423" s="39"/>
      <c r="J423" s="39"/>
      <c r="K423" s="60">
        <f t="shared" si="2"/>
        <v>0</v>
      </c>
      <c r="L423" s="39"/>
      <c r="M423" s="59">
        <f t="shared" si="3"/>
        <v>0</v>
      </c>
      <c r="N423" s="61">
        <v>1.0</v>
      </c>
      <c r="O423" s="62">
        <f t="shared" si="4"/>
        <v>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4">
        <v>416.0</v>
      </c>
      <c r="C424" s="56" t="s">
        <v>464</v>
      </c>
      <c r="D424" s="67">
        <v>7125.0</v>
      </c>
      <c r="E424" s="56">
        <v>79.0</v>
      </c>
      <c r="F424" s="59">
        <f t="shared" si="6"/>
        <v>562875</v>
      </c>
      <c r="G424" s="56">
        <v>79.0</v>
      </c>
      <c r="H424" s="59">
        <f t="shared" si="1"/>
        <v>562875</v>
      </c>
      <c r="I424" s="39"/>
      <c r="J424" s="39"/>
      <c r="K424" s="60">
        <f t="shared" si="2"/>
        <v>0</v>
      </c>
      <c r="L424" s="39"/>
      <c r="M424" s="59">
        <f t="shared" si="3"/>
        <v>0</v>
      </c>
      <c r="N424" s="61">
        <v>79.0</v>
      </c>
      <c r="O424" s="62">
        <f t="shared" si="4"/>
        <v>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4">
        <v>417.0</v>
      </c>
      <c r="C425" s="56" t="s">
        <v>465</v>
      </c>
      <c r="D425" s="67">
        <v>875.0</v>
      </c>
      <c r="E425" s="56">
        <v>197.0</v>
      </c>
      <c r="F425" s="59">
        <f t="shared" si="6"/>
        <v>172375</v>
      </c>
      <c r="G425" s="56">
        <v>197.0</v>
      </c>
      <c r="H425" s="59">
        <f t="shared" si="1"/>
        <v>172375</v>
      </c>
      <c r="I425" s="39"/>
      <c r="J425" s="39"/>
      <c r="K425" s="60">
        <f t="shared" si="2"/>
        <v>0</v>
      </c>
      <c r="L425" s="39"/>
      <c r="M425" s="59">
        <f t="shared" si="3"/>
        <v>0</v>
      </c>
      <c r="N425" s="61">
        <v>197.0</v>
      </c>
      <c r="O425" s="62">
        <f t="shared" si="4"/>
        <v>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4">
        <v>418.0</v>
      </c>
      <c r="C426" s="56" t="s">
        <v>466</v>
      </c>
      <c r="D426" s="67">
        <v>17500.0</v>
      </c>
      <c r="E426" s="56">
        <v>7.0</v>
      </c>
      <c r="F426" s="59">
        <f t="shared" si="6"/>
        <v>122500</v>
      </c>
      <c r="G426" s="56">
        <v>8.0</v>
      </c>
      <c r="H426" s="59">
        <f t="shared" si="1"/>
        <v>140000</v>
      </c>
      <c r="I426" s="39"/>
      <c r="J426" s="39"/>
      <c r="K426" s="60">
        <f t="shared" si="2"/>
        <v>0</v>
      </c>
      <c r="L426" s="56">
        <v>1.0</v>
      </c>
      <c r="M426" s="59">
        <f t="shared" si="3"/>
        <v>17500</v>
      </c>
      <c r="N426" s="61">
        <v>8.0</v>
      </c>
      <c r="O426" s="62">
        <f t="shared" si="4"/>
        <v>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4">
        <v>419.0</v>
      </c>
      <c r="C427" s="56" t="s">
        <v>467</v>
      </c>
      <c r="D427" s="67">
        <v>12500.0</v>
      </c>
      <c r="E427" s="56">
        <v>37.0</v>
      </c>
      <c r="F427" s="59">
        <f t="shared" si="6"/>
        <v>462500</v>
      </c>
      <c r="G427" s="56">
        <v>37.0</v>
      </c>
      <c r="H427" s="59">
        <f t="shared" si="1"/>
        <v>462500</v>
      </c>
      <c r="I427" s="39"/>
      <c r="J427" s="39"/>
      <c r="K427" s="60">
        <f t="shared" si="2"/>
        <v>0</v>
      </c>
      <c r="L427" s="39"/>
      <c r="M427" s="59">
        <f t="shared" si="3"/>
        <v>0</v>
      </c>
      <c r="N427" s="61">
        <v>37.0</v>
      </c>
      <c r="O427" s="62">
        <f t="shared" si="4"/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4">
        <v>420.0</v>
      </c>
      <c r="C428" s="56" t="s">
        <v>468</v>
      </c>
      <c r="D428" s="67">
        <v>7000.0</v>
      </c>
      <c r="E428" s="56">
        <v>7.0</v>
      </c>
      <c r="F428" s="59">
        <f t="shared" si="6"/>
        <v>49000</v>
      </c>
      <c r="G428" s="56">
        <v>7.0</v>
      </c>
      <c r="H428" s="59">
        <f t="shared" si="1"/>
        <v>49000</v>
      </c>
      <c r="I428" s="39"/>
      <c r="J428" s="39"/>
      <c r="K428" s="60">
        <f t="shared" si="2"/>
        <v>0</v>
      </c>
      <c r="L428" s="39"/>
      <c r="M428" s="59">
        <f t="shared" si="3"/>
        <v>0</v>
      </c>
      <c r="N428" s="61">
        <v>7.0</v>
      </c>
      <c r="O428" s="62">
        <f t="shared" si="4"/>
        <v>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4">
        <v>421.0</v>
      </c>
      <c r="C429" s="56" t="s">
        <v>469</v>
      </c>
      <c r="D429" s="67">
        <v>1125.0</v>
      </c>
      <c r="E429" s="56">
        <v>590.0</v>
      </c>
      <c r="F429" s="59">
        <f t="shared" si="6"/>
        <v>663750</v>
      </c>
      <c r="G429" s="56">
        <v>590.0</v>
      </c>
      <c r="H429" s="59">
        <f t="shared" si="1"/>
        <v>663750</v>
      </c>
      <c r="I429" s="39"/>
      <c r="J429" s="39"/>
      <c r="K429" s="60">
        <f t="shared" si="2"/>
        <v>0</v>
      </c>
      <c r="L429" s="39"/>
      <c r="M429" s="59">
        <f t="shared" si="3"/>
        <v>0</v>
      </c>
      <c r="N429" s="61">
        <v>590.0</v>
      </c>
      <c r="O429" s="62">
        <f t="shared" si="4"/>
        <v>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4">
        <v>422.0</v>
      </c>
      <c r="C430" s="56" t="s">
        <v>470</v>
      </c>
      <c r="D430" s="67">
        <v>12500.0</v>
      </c>
      <c r="E430" s="56">
        <v>12.0</v>
      </c>
      <c r="F430" s="59">
        <f t="shared" si="6"/>
        <v>150000</v>
      </c>
      <c r="G430" s="56">
        <v>10.0</v>
      </c>
      <c r="H430" s="59">
        <f t="shared" si="1"/>
        <v>125000</v>
      </c>
      <c r="I430" s="39"/>
      <c r="J430" s="56">
        <v>2.0</v>
      </c>
      <c r="K430" s="60">
        <f t="shared" si="2"/>
        <v>25000</v>
      </c>
      <c r="L430" s="39"/>
      <c r="M430" s="59">
        <f t="shared" si="3"/>
        <v>0</v>
      </c>
      <c r="N430" s="61">
        <v>10.0</v>
      </c>
      <c r="O430" s="62">
        <f t="shared" si="4"/>
        <v>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4">
        <v>423.0</v>
      </c>
      <c r="C431" s="56" t="s">
        <v>471</v>
      </c>
      <c r="D431" s="67">
        <v>9071.0</v>
      </c>
      <c r="E431" s="56">
        <v>142.0</v>
      </c>
      <c r="F431" s="59">
        <f t="shared" si="6"/>
        <v>1288082</v>
      </c>
      <c r="G431" s="56">
        <v>142.0</v>
      </c>
      <c r="H431" s="59">
        <f t="shared" si="1"/>
        <v>1288082</v>
      </c>
      <c r="I431" s="39"/>
      <c r="J431" s="39"/>
      <c r="K431" s="60">
        <f t="shared" si="2"/>
        <v>0</v>
      </c>
      <c r="L431" s="39"/>
      <c r="M431" s="59">
        <f t="shared" si="3"/>
        <v>0</v>
      </c>
      <c r="N431" s="69">
        <v>142.0</v>
      </c>
      <c r="O431" s="62">
        <f t="shared" si="4"/>
        <v>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4">
        <v>424.0</v>
      </c>
      <c r="C432" s="56" t="s">
        <v>472</v>
      </c>
      <c r="D432" s="67">
        <v>12500.0</v>
      </c>
      <c r="E432" s="56">
        <v>240.0</v>
      </c>
      <c r="F432" s="59">
        <f t="shared" si="6"/>
        <v>3000000</v>
      </c>
      <c r="G432" s="56">
        <v>240.0</v>
      </c>
      <c r="H432" s="59">
        <f t="shared" si="1"/>
        <v>3000000</v>
      </c>
      <c r="I432" s="39"/>
      <c r="J432" s="39"/>
      <c r="K432" s="60">
        <f t="shared" si="2"/>
        <v>0</v>
      </c>
      <c r="L432" s="39"/>
      <c r="M432" s="59">
        <f t="shared" si="3"/>
        <v>0</v>
      </c>
      <c r="N432" s="69">
        <v>240.0</v>
      </c>
      <c r="O432" s="62">
        <f t="shared" si="4"/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4">
        <v>425.0</v>
      </c>
      <c r="C433" s="56" t="s">
        <v>473</v>
      </c>
      <c r="D433" s="67">
        <v>2000.0</v>
      </c>
      <c r="E433" s="56">
        <v>162.0</v>
      </c>
      <c r="F433" s="59">
        <f t="shared" si="6"/>
        <v>324000</v>
      </c>
      <c r="G433" s="56">
        <v>162.0</v>
      </c>
      <c r="H433" s="59">
        <f t="shared" si="1"/>
        <v>324000</v>
      </c>
      <c r="I433" s="39"/>
      <c r="J433" s="39"/>
      <c r="K433" s="60">
        <f t="shared" si="2"/>
        <v>0</v>
      </c>
      <c r="L433" s="39"/>
      <c r="M433" s="59">
        <f t="shared" si="3"/>
        <v>0</v>
      </c>
      <c r="N433" s="69">
        <v>162.0</v>
      </c>
      <c r="O433" s="62">
        <f t="shared" si="4"/>
        <v>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4">
        <v>426.0</v>
      </c>
      <c r="C434" s="56" t="s">
        <v>474</v>
      </c>
      <c r="D434" s="67">
        <v>3875.0</v>
      </c>
      <c r="E434" s="56">
        <v>31.0</v>
      </c>
      <c r="F434" s="59">
        <f t="shared" si="6"/>
        <v>120125</v>
      </c>
      <c r="G434" s="56">
        <v>31.0</v>
      </c>
      <c r="H434" s="59">
        <f t="shared" si="1"/>
        <v>120125</v>
      </c>
      <c r="I434" s="39"/>
      <c r="J434" s="39"/>
      <c r="K434" s="60">
        <f t="shared" si="2"/>
        <v>0</v>
      </c>
      <c r="L434" s="39"/>
      <c r="M434" s="59">
        <f t="shared" si="3"/>
        <v>0</v>
      </c>
      <c r="N434" s="69">
        <v>31.0</v>
      </c>
      <c r="O434" s="62">
        <f t="shared" si="4"/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4">
        <v>427.0</v>
      </c>
      <c r="C435" s="56" t="s">
        <v>475</v>
      </c>
      <c r="D435" s="67">
        <v>875.0</v>
      </c>
      <c r="E435" s="56">
        <v>199.0</v>
      </c>
      <c r="F435" s="59">
        <f t="shared" si="6"/>
        <v>174125</v>
      </c>
      <c r="G435" s="56">
        <v>199.0</v>
      </c>
      <c r="H435" s="59">
        <f t="shared" si="1"/>
        <v>174125</v>
      </c>
      <c r="I435" s="39"/>
      <c r="J435" s="39"/>
      <c r="K435" s="60">
        <f t="shared" si="2"/>
        <v>0</v>
      </c>
      <c r="L435" s="39"/>
      <c r="M435" s="59">
        <f t="shared" si="3"/>
        <v>0</v>
      </c>
      <c r="N435" s="69">
        <v>199.0</v>
      </c>
      <c r="O435" s="62">
        <f t="shared" si="4"/>
        <v>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4">
        <v>428.0</v>
      </c>
      <c r="C436" s="56" t="s">
        <v>476</v>
      </c>
      <c r="D436" s="70"/>
      <c r="E436" s="56">
        <v>22.0</v>
      </c>
      <c r="F436" s="59">
        <f t="shared" si="6"/>
        <v>0</v>
      </c>
      <c r="G436" s="56">
        <v>22.0</v>
      </c>
      <c r="H436" s="59">
        <f t="shared" si="1"/>
        <v>0</v>
      </c>
      <c r="I436" s="39"/>
      <c r="J436" s="39"/>
      <c r="K436" s="60">
        <f t="shared" si="2"/>
        <v>0</v>
      </c>
      <c r="L436" s="39"/>
      <c r="M436" s="59">
        <f t="shared" si="3"/>
        <v>0</v>
      </c>
      <c r="N436" s="69">
        <v>22.0</v>
      </c>
      <c r="O436" s="62">
        <f t="shared" si="4"/>
        <v>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4">
        <v>429.0</v>
      </c>
      <c r="C437" s="56" t="s">
        <v>477</v>
      </c>
      <c r="D437" s="67">
        <v>445000.0</v>
      </c>
      <c r="E437" s="56">
        <v>21.0</v>
      </c>
      <c r="F437" s="59">
        <f t="shared" si="6"/>
        <v>9345000</v>
      </c>
      <c r="G437" s="56">
        <v>21.0</v>
      </c>
      <c r="H437" s="59">
        <f t="shared" si="1"/>
        <v>9345000</v>
      </c>
      <c r="I437" s="39"/>
      <c r="J437" s="39"/>
      <c r="K437" s="60">
        <f t="shared" si="2"/>
        <v>0</v>
      </c>
      <c r="L437" s="39"/>
      <c r="M437" s="59">
        <f t="shared" si="3"/>
        <v>0</v>
      </c>
      <c r="N437" s="69">
        <v>21.0</v>
      </c>
      <c r="O437" s="62">
        <f t="shared" si="4"/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4">
        <v>430.0</v>
      </c>
      <c r="C438" s="56" t="s">
        <v>478</v>
      </c>
      <c r="D438" s="67">
        <v>117117.12</v>
      </c>
      <c r="E438" s="56">
        <v>15.0</v>
      </c>
      <c r="F438" s="59">
        <f t="shared" si="6"/>
        <v>1756756.8</v>
      </c>
      <c r="G438" s="56">
        <v>15.0</v>
      </c>
      <c r="H438" s="59">
        <f t="shared" si="1"/>
        <v>1756756.8</v>
      </c>
      <c r="I438" s="39"/>
      <c r="J438" s="39"/>
      <c r="K438" s="60">
        <f t="shared" si="2"/>
        <v>0</v>
      </c>
      <c r="L438" s="39"/>
      <c r="M438" s="59">
        <f t="shared" si="3"/>
        <v>0</v>
      </c>
      <c r="N438" s="69">
        <v>15.0</v>
      </c>
      <c r="O438" s="62">
        <f t="shared" si="4"/>
        <v>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4">
        <v>431.0</v>
      </c>
      <c r="C439" s="56" t="s">
        <v>479</v>
      </c>
      <c r="D439" s="67">
        <v>178378.38</v>
      </c>
      <c r="E439" s="56">
        <v>18.0</v>
      </c>
      <c r="F439" s="59">
        <f t="shared" si="6"/>
        <v>3210810.84</v>
      </c>
      <c r="G439" s="56">
        <v>18.0</v>
      </c>
      <c r="H439" s="59">
        <f t="shared" si="1"/>
        <v>3210810.84</v>
      </c>
      <c r="I439" s="39"/>
      <c r="J439" s="39"/>
      <c r="K439" s="60">
        <f t="shared" si="2"/>
        <v>0</v>
      </c>
      <c r="L439" s="39"/>
      <c r="M439" s="59">
        <f t="shared" si="3"/>
        <v>0</v>
      </c>
      <c r="N439" s="69">
        <v>18.0</v>
      </c>
      <c r="O439" s="62">
        <f t="shared" si="4"/>
        <v>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4">
        <v>432.0</v>
      </c>
      <c r="C440" s="56" t="s">
        <v>480</v>
      </c>
      <c r="D440" s="67">
        <v>153153.15</v>
      </c>
      <c r="E440" s="56">
        <v>28.0</v>
      </c>
      <c r="F440" s="59">
        <f t="shared" si="6"/>
        <v>4288288.2</v>
      </c>
      <c r="G440" s="56">
        <v>28.0</v>
      </c>
      <c r="H440" s="59">
        <f t="shared" si="1"/>
        <v>4288288.2</v>
      </c>
      <c r="I440" s="39"/>
      <c r="J440" s="39"/>
      <c r="K440" s="60">
        <f t="shared" si="2"/>
        <v>0</v>
      </c>
      <c r="L440" s="39"/>
      <c r="M440" s="59">
        <f t="shared" si="3"/>
        <v>0</v>
      </c>
      <c r="N440" s="69">
        <v>28.0</v>
      </c>
      <c r="O440" s="62">
        <f t="shared" si="4"/>
        <v>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4">
        <v>433.0</v>
      </c>
      <c r="C441" s="56" t="s">
        <v>481</v>
      </c>
      <c r="D441" s="67">
        <v>41827.93</v>
      </c>
      <c r="E441" s="56">
        <v>1.0</v>
      </c>
      <c r="F441" s="59">
        <f t="shared" si="6"/>
        <v>41827.93</v>
      </c>
      <c r="G441" s="56">
        <v>1.0</v>
      </c>
      <c r="H441" s="59">
        <f t="shared" si="1"/>
        <v>41827.93</v>
      </c>
      <c r="I441" s="39"/>
      <c r="J441" s="39"/>
      <c r="K441" s="60">
        <f t="shared" si="2"/>
        <v>0</v>
      </c>
      <c r="L441" s="39"/>
      <c r="M441" s="59">
        <f t="shared" si="3"/>
        <v>0</v>
      </c>
      <c r="N441" s="69">
        <v>1.0</v>
      </c>
      <c r="O441" s="62">
        <f t="shared" si="4"/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4">
        <v>434.0</v>
      </c>
      <c r="C442" s="56" t="s">
        <v>482</v>
      </c>
      <c r="D442" s="67">
        <v>211711.71</v>
      </c>
      <c r="E442" s="56">
        <v>0.0</v>
      </c>
      <c r="F442" s="59">
        <f t="shared" si="6"/>
        <v>0</v>
      </c>
      <c r="G442" s="56">
        <v>0.0</v>
      </c>
      <c r="H442" s="59">
        <f t="shared" si="1"/>
        <v>0</v>
      </c>
      <c r="I442" s="39"/>
      <c r="J442" s="39"/>
      <c r="K442" s="60">
        <f t="shared" si="2"/>
        <v>0</v>
      </c>
      <c r="L442" s="39"/>
      <c r="M442" s="59">
        <f t="shared" si="3"/>
        <v>0</v>
      </c>
      <c r="N442" s="69">
        <v>0.0</v>
      </c>
      <c r="O442" s="62">
        <f t="shared" si="4"/>
        <v>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4">
        <v>435.0</v>
      </c>
      <c r="C443" s="56" t="s">
        <v>483</v>
      </c>
      <c r="D443" s="67">
        <v>151351.35</v>
      </c>
      <c r="E443" s="56">
        <v>8.0</v>
      </c>
      <c r="F443" s="59">
        <f t="shared" si="6"/>
        <v>1210810.8</v>
      </c>
      <c r="G443" s="56">
        <v>8.0</v>
      </c>
      <c r="H443" s="59">
        <f t="shared" si="1"/>
        <v>1210810.8</v>
      </c>
      <c r="I443" s="39"/>
      <c r="J443" s="39"/>
      <c r="K443" s="60">
        <f t="shared" si="2"/>
        <v>0</v>
      </c>
      <c r="L443" s="39"/>
      <c r="M443" s="59">
        <f t="shared" si="3"/>
        <v>0</v>
      </c>
      <c r="N443" s="69">
        <v>8.0</v>
      </c>
      <c r="O443" s="62">
        <f t="shared" si="4"/>
        <v>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4">
        <v>436.0</v>
      </c>
      <c r="C444" s="56" t="s">
        <v>484</v>
      </c>
      <c r="D444" s="67">
        <v>198198.2</v>
      </c>
      <c r="E444" s="56">
        <v>14.0</v>
      </c>
      <c r="F444" s="59">
        <f t="shared" si="6"/>
        <v>2774774.8</v>
      </c>
      <c r="G444" s="56">
        <v>14.0</v>
      </c>
      <c r="H444" s="59">
        <f t="shared" si="1"/>
        <v>2774774.8</v>
      </c>
      <c r="I444" s="39"/>
      <c r="J444" s="39"/>
      <c r="K444" s="60">
        <f t="shared" si="2"/>
        <v>0</v>
      </c>
      <c r="L444" s="39"/>
      <c r="M444" s="59">
        <f t="shared" si="3"/>
        <v>0</v>
      </c>
      <c r="N444" s="69">
        <v>14.0</v>
      </c>
      <c r="O444" s="62">
        <f t="shared" si="4"/>
        <v>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4">
        <v>437.0</v>
      </c>
      <c r="C445" s="56" t="s">
        <v>485</v>
      </c>
      <c r="D445" s="67">
        <v>176576.58</v>
      </c>
      <c r="E445" s="56">
        <v>6.0</v>
      </c>
      <c r="F445" s="59">
        <f t="shared" si="6"/>
        <v>1059459.48</v>
      </c>
      <c r="G445" s="56">
        <v>6.0</v>
      </c>
      <c r="H445" s="59">
        <f t="shared" si="1"/>
        <v>1059459.48</v>
      </c>
      <c r="I445" s="39"/>
      <c r="J445" s="39"/>
      <c r="K445" s="60">
        <f t="shared" si="2"/>
        <v>0</v>
      </c>
      <c r="L445" s="39"/>
      <c r="M445" s="59">
        <f t="shared" si="3"/>
        <v>0</v>
      </c>
      <c r="N445" s="69">
        <v>6.0</v>
      </c>
      <c r="O445" s="62">
        <f t="shared" si="4"/>
        <v>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4">
        <v>438.0</v>
      </c>
      <c r="C446" s="56" t="s">
        <v>486</v>
      </c>
      <c r="D446" s="67">
        <v>105855.86</v>
      </c>
      <c r="E446" s="56">
        <v>6.0</v>
      </c>
      <c r="F446" s="59">
        <f t="shared" si="6"/>
        <v>635135.16</v>
      </c>
      <c r="G446" s="56">
        <v>6.0</v>
      </c>
      <c r="H446" s="59">
        <f t="shared" si="1"/>
        <v>635135.16</v>
      </c>
      <c r="I446" s="39"/>
      <c r="J446" s="39"/>
      <c r="K446" s="60">
        <f t="shared" si="2"/>
        <v>0</v>
      </c>
      <c r="L446" s="39"/>
      <c r="M446" s="59">
        <f t="shared" si="3"/>
        <v>0</v>
      </c>
      <c r="N446" s="69">
        <v>6.0</v>
      </c>
      <c r="O446" s="62">
        <f t="shared" si="4"/>
        <v>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4">
        <v>439.0</v>
      </c>
      <c r="C447" s="56" t="s">
        <v>487</v>
      </c>
      <c r="D447" s="67">
        <v>305440.0</v>
      </c>
      <c r="E447" s="56">
        <v>34.0</v>
      </c>
      <c r="F447" s="59">
        <f t="shared" si="6"/>
        <v>10384960</v>
      </c>
      <c r="G447" s="56">
        <v>34.0</v>
      </c>
      <c r="H447" s="59">
        <f t="shared" si="1"/>
        <v>10384960</v>
      </c>
      <c r="I447" s="39"/>
      <c r="J447" s="39"/>
      <c r="K447" s="60">
        <f t="shared" si="2"/>
        <v>0</v>
      </c>
      <c r="L447" s="39"/>
      <c r="M447" s="59">
        <f t="shared" si="3"/>
        <v>0</v>
      </c>
      <c r="N447" s="69">
        <v>34.0</v>
      </c>
      <c r="O447" s="62">
        <f t="shared" si="4"/>
        <v>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4">
        <v>440.0</v>
      </c>
      <c r="C448" s="56" t="s">
        <v>488</v>
      </c>
      <c r="D448" s="67">
        <v>41891.89</v>
      </c>
      <c r="E448" s="56">
        <v>120.0</v>
      </c>
      <c r="F448" s="59">
        <f t="shared" si="6"/>
        <v>5027026.8</v>
      </c>
      <c r="G448" s="56">
        <v>120.0</v>
      </c>
      <c r="H448" s="59">
        <f t="shared" si="1"/>
        <v>5027026.8</v>
      </c>
      <c r="I448" s="39"/>
      <c r="J448" s="39"/>
      <c r="K448" s="60">
        <f t="shared" si="2"/>
        <v>0</v>
      </c>
      <c r="L448" s="39"/>
      <c r="M448" s="59">
        <f t="shared" si="3"/>
        <v>0</v>
      </c>
      <c r="N448" s="69">
        <v>120.0</v>
      </c>
      <c r="O448" s="62">
        <f t="shared" si="4"/>
        <v>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4">
        <v>441.0</v>
      </c>
      <c r="C449" s="56" t="s">
        <v>489</v>
      </c>
      <c r="D449" s="67">
        <v>40540.54</v>
      </c>
      <c r="E449" s="56">
        <v>100.0</v>
      </c>
      <c r="F449" s="59">
        <f t="shared" si="6"/>
        <v>4054054</v>
      </c>
      <c r="G449" s="56">
        <v>100.0</v>
      </c>
      <c r="H449" s="59">
        <f t="shared" si="1"/>
        <v>4054054</v>
      </c>
      <c r="I449" s="39"/>
      <c r="J449" s="39"/>
      <c r="K449" s="60">
        <f t="shared" si="2"/>
        <v>0</v>
      </c>
      <c r="L449" s="39"/>
      <c r="M449" s="59">
        <f t="shared" si="3"/>
        <v>0</v>
      </c>
      <c r="N449" s="69">
        <v>100.0</v>
      </c>
      <c r="O449" s="62">
        <f t="shared" si="4"/>
        <v>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4">
        <v>442.0</v>
      </c>
      <c r="C450" s="56" t="s">
        <v>490</v>
      </c>
      <c r="D450" s="67">
        <v>210000.0</v>
      </c>
      <c r="E450" s="56">
        <v>3.0</v>
      </c>
      <c r="F450" s="59">
        <f t="shared" si="6"/>
        <v>630000</v>
      </c>
      <c r="G450" s="56">
        <v>3.0</v>
      </c>
      <c r="H450" s="59">
        <f t="shared" si="1"/>
        <v>630000</v>
      </c>
      <c r="I450" s="39"/>
      <c r="J450" s="39"/>
      <c r="K450" s="60">
        <f t="shared" si="2"/>
        <v>0</v>
      </c>
      <c r="L450" s="39"/>
      <c r="M450" s="59">
        <f t="shared" si="3"/>
        <v>0</v>
      </c>
      <c r="N450" s="69">
        <v>3.0</v>
      </c>
      <c r="O450" s="62">
        <f t="shared" si="4"/>
        <v>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4">
        <v>443.0</v>
      </c>
      <c r="C451" s="56" t="s">
        <v>491</v>
      </c>
      <c r="D451" s="67">
        <v>360000.0</v>
      </c>
      <c r="E451" s="56">
        <v>3.0</v>
      </c>
      <c r="F451" s="59">
        <f t="shared" si="6"/>
        <v>1080000</v>
      </c>
      <c r="G451" s="56">
        <v>3.0</v>
      </c>
      <c r="H451" s="59">
        <f t="shared" si="1"/>
        <v>1080000</v>
      </c>
      <c r="I451" s="39"/>
      <c r="J451" s="39"/>
      <c r="K451" s="60">
        <f t="shared" si="2"/>
        <v>0</v>
      </c>
      <c r="L451" s="39"/>
      <c r="M451" s="59">
        <f t="shared" si="3"/>
        <v>0</v>
      </c>
      <c r="N451" s="69">
        <v>3.0</v>
      </c>
      <c r="O451" s="62">
        <f t="shared" si="4"/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4">
        <v>444.0</v>
      </c>
      <c r="C452" s="56" t="s">
        <v>492</v>
      </c>
      <c r="D452" s="67">
        <v>131081.08</v>
      </c>
      <c r="E452" s="56">
        <v>2.0</v>
      </c>
      <c r="F452" s="59">
        <f t="shared" si="6"/>
        <v>262162.16</v>
      </c>
      <c r="G452" s="56">
        <v>2.0</v>
      </c>
      <c r="H452" s="59">
        <f t="shared" si="1"/>
        <v>262162.16</v>
      </c>
      <c r="I452" s="39"/>
      <c r="J452" s="39"/>
      <c r="K452" s="60">
        <f t="shared" si="2"/>
        <v>0</v>
      </c>
      <c r="L452" s="39"/>
      <c r="M452" s="59">
        <f t="shared" si="3"/>
        <v>0</v>
      </c>
      <c r="N452" s="69">
        <v>2.0</v>
      </c>
      <c r="O452" s="62">
        <f t="shared" si="4"/>
        <v>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4">
        <v>445.0</v>
      </c>
      <c r="C453" s="56" t="s">
        <v>493</v>
      </c>
      <c r="D453" s="67">
        <v>162162.16</v>
      </c>
      <c r="E453" s="56">
        <v>3.0</v>
      </c>
      <c r="F453" s="59">
        <f t="shared" si="6"/>
        <v>486486.48</v>
      </c>
      <c r="G453" s="56">
        <v>3.0</v>
      </c>
      <c r="H453" s="59">
        <f t="shared" si="1"/>
        <v>486486.48</v>
      </c>
      <c r="I453" s="39"/>
      <c r="J453" s="39"/>
      <c r="K453" s="60">
        <f t="shared" si="2"/>
        <v>0</v>
      </c>
      <c r="L453" s="39"/>
      <c r="M453" s="59">
        <f t="shared" si="3"/>
        <v>0</v>
      </c>
      <c r="N453" s="69">
        <v>3.0</v>
      </c>
      <c r="O453" s="62">
        <f t="shared" si="4"/>
        <v>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4">
        <v>446.0</v>
      </c>
      <c r="C454" s="56" t="s">
        <v>494</v>
      </c>
      <c r="D454" s="67">
        <v>378000.0</v>
      </c>
      <c r="E454" s="56">
        <v>1.0</v>
      </c>
      <c r="F454" s="59">
        <f t="shared" si="6"/>
        <v>378000</v>
      </c>
      <c r="G454" s="56">
        <v>1.0</v>
      </c>
      <c r="H454" s="59">
        <f t="shared" si="1"/>
        <v>378000</v>
      </c>
      <c r="I454" s="39"/>
      <c r="J454" s="39"/>
      <c r="K454" s="60">
        <f t="shared" si="2"/>
        <v>0</v>
      </c>
      <c r="L454" s="39"/>
      <c r="M454" s="59">
        <f t="shared" si="3"/>
        <v>0</v>
      </c>
      <c r="N454" s="69">
        <v>1.0</v>
      </c>
      <c r="O454" s="62">
        <f t="shared" si="4"/>
        <v>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4">
        <v>447.0</v>
      </c>
      <c r="C455" s="56" t="s">
        <v>495</v>
      </c>
      <c r="D455" s="67">
        <v>210000.0</v>
      </c>
      <c r="E455" s="56">
        <v>2.0</v>
      </c>
      <c r="F455" s="59">
        <f t="shared" si="6"/>
        <v>420000</v>
      </c>
      <c r="G455" s="56">
        <v>2.0</v>
      </c>
      <c r="H455" s="59">
        <f t="shared" si="1"/>
        <v>420000</v>
      </c>
      <c r="I455" s="39"/>
      <c r="J455" s="39"/>
      <c r="K455" s="60">
        <f t="shared" si="2"/>
        <v>0</v>
      </c>
      <c r="L455" s="39"/>
      <c r="M455" s="59">
        <f t="shared" si="3"/>
        <v>0</v>
      </c>
      <c r="N455" s="69">
        <v>2.0</v>
      </c>
      <c r="O455" s="62">
        <f t="shared" si="4"/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4">
        <v>448.0</v>
      </c>
      <c r="C456" s="56" t="s">
        <v>496</v>
      </c>
      <c r="D456" s="67">
        <v>249480.0</v>
      </c>
      <c r="E456" s="56">
        <v>1.0</v>
      </c>
      <c r="F456" s="59">
        <f t="shared" si="6"/>
        <v>249480</v>
      </c>
      <c r="G456" s="56">
        <v>1.0</v>
      </c>
      <c r="H456" s="59">
        <f t="shared" si="1"/>
        <v>249480</v>
      </c>
      <c r="I456" s="39"/>
      <c r="J456" s="39"/>
      <c r="K456" s="60">
        <f t="shared" si="2"/>
        <v>0</v>
      </c>
      <c r="L456" s="39"/>
      <c r="M456" s="59">
        <f t="shared" si="3"/>
        <v>0</v>
      </c>
      <c r="N456" s="69">
        <v>1.0</v>
      </c>
      <c r="O456" s="62">
        <f t="shared" si="4"/>
        <v>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4">
        <v>449.0</v>
      </c>
      <c r="C457" s="56" t="s">
        <v>497</v>
      </c>
      <c r="D457" s="67">
        <v>127927.93</v>
      </c>
      <c r="E457" s="56">
        <v>13.0</v>
      </c>
      <c r="F457" s="59">
        <f t="shared" si="6"/>
        <v>1663063.09</v>
      </c>
      <c r="G457" s="56">
        <v>13.0</v>
      </c>
      <c r="H457" s="59">
        <f t="shared" si="1"/>
        <v>1663063.09</v>
      </c>
      <c r="I457" s="39"/>
      <c r="J457" s="39"/>
      <c r="K457" s="60">
        <f t="shared" si="2"/>
        <v>0</v>
      </c>
      <c r="L457" s="39"/>
      <c r="M457" s="59">
        <f t="shared" si="3"/>
        <v>0</v>
      </c>
      <c r="N457" s="69">
        <v>13.0</v>
      </c>
      <c r="O457" s="62">
        <f t="shared" si="4"/>
        <v>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4">
        <v>450.0</v>
      </c>
      <c r="C458" s="56" t="s">
        <v>498</v>
      </c>
      <c r="D458" s="67">
        <v>189189.19</v>
      </c>
      <c r="E458" s="56">
        <v>1.0</v>
      </c>
      <c r="F458" s="59">
        <f t="shared" si="6"/>
        <v>189189.19</v>
      </c>
      <c r="G458" s="56">
        <v>1.0</v>
      </c>
      <c r="H458" s="59">
        <f t="shared" si="1"/>
        <v>189189.19</v>
      </c>
      <c r="I458" s="39"/>
      <c r="J458" s="39"/>
      <c r="K458" s="60">
        <f t="shared" si="2"/>
        <v>0</v>
      </c>
      <c r="L458" s="39"/>
      <c r="M458" s="59">
        <f t="shared" si="3"/>
        <v>0</v>
      </c>
      <c r="N458" s="69">
        <v>1.0</v>
      </c>
      <c r="O458" s="62">
        <f t="shared" si="4"/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4">
        <v>451.0</v>
      </c>
      <c r="C459" s="56" t="s">
        <v>499</v>
      </c>
      <c r="D459" s="67">
        <v>127928.0</v>
      </c>
      <c r="E459" s="56">
        <v>3.0</v>
      </c>
      <c r="F459" s="59">
        <f t="shared" si="6"/>
        <v>383784</v>
      </c>
      <c r="G459" s="56">
        <v>3.0</v>
      </c>
      <c r="H459" s="59">
        <f t="shared" si="1"/>
        <v>383784</v>
      </c>
      <c r="I459" s="39"/>
      <c r="J459" s="39"/>
      <c r="K459" s="60">
        <f t="shared" si="2"/>
        <v>0</v>
      </c>
      <c r="L459" s="39"/>
      <c r="M459" s="59">
        <f t="shared" si="3"/>
        <v>0</v>
      </c>
      <c r="N459" s="69">
        <v>3.0</v>
      </c>
      <c r="O459" s="62">
        <f t="shared" si="4"/>
        <v>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4">
        <v>452.0</v>
      </c>
      <c r="C460" s="56" t="s">
        <v>500</v>
      </c>
      <c r="D460" s="67">
        <v>280260.0</v>
      </c>
      <c r="E460" s="56">
        <v>3.0</v>
      </c>
      <c r="F460" s="59">
        <f t="shared" si="6"/>
        <v>840780</v>
      </c>
      <c r="G460" s="56">
        <v>3.0</v>
      </c>
      <c r="H460" s="59">
        <f t="shared" si="1"/>
        <v>840780</v>
      </c>
      <c r="I460" s="39"/>
      <c r="J460" s="39"/>
      <c r="K460" s="60">
        <f t="shared" si="2"/>
        <v>0</v>
      </c>
      <c r="L460" s="39"/>
      <c r="M460" s="59">
        <f t="shared" si="3"/>
        <v>0</v>
      </c>
      <c r="N460" s="69">
        <v>3.0</v>
      </c>
      <c r="O460" s="62">
        <f t="shared" si="4"/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4">
        <v>453.0</v>
      </c>
      <c r="C461" s="56" t="s">
        <v>501</v>
      </c>
      <c r="D461" s="67">
        <v>570000.0</v>
      </c>
      <c r="E461" s="56">
        <v>1.0</v>
      </c>
      <c r="F461" s="59">
        <f t="shared" si="6"/>
        <v>570000</v>
      </c>
      <c r="G461" s="56">
        <v>1.0</v>
      </c>
      <c r="H461" s="59">
        <f t="shared" si="1"/>
        <v>570000</v>
      </c>
      <c r="I461" s="39"/>
      <c r="J461" s="39"/>
      <c r="K461" s="60">
        <f t="shared" si="2"/>
        <v>0</v>
      </c>
      <c r="L461" s="39"/>
      <c r="M461" s="59">
        <f t="shared" si="3"/>
        <v>0</v>
      </c>
      <c r="N461" s="69">
        <v>1.0</v>
      </c>
      <c r="O461" s="62">
        <f t="shared" si="4"/>
        <v>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4">
        <v>454.0</v>
      </c>
      <c r="C462" s="56" t="s">
        <v>502</v>
      </c>
      <c r="D462" s="67">
        <v>180162.16</v>
      </c>
      <c r="E462" s="56">
        <v>4.0</v>
      </c>
      <c r="F462" s="59">
        <f t="shared" si="6"/>
        <v>720648.64</v>
      </c>
      <c r="G462" s="56">
        <v>4.0</v>
      </c>
      <c r="H462" s="59">
        <f t="shared" si="1"/>
        <v>720648.64</v>
      </c>
      <c r="I462" s="39"/>
      <c r="J462" s="39"/>
      <c r="K462" s="60">
        <f t="shared" si="2"/>
        <v>0</v>
      </c>
      <c r="L462" s="39"/>
      <c r="M462" s="59">
        <f t="shared" si="3"/>
        <v>0</v>
      </c>
      <c r="N462" s="69">
        <v>4.0</v>
      </c>
      <c r="O462" s="62">
        <f t="shared" si="4"/>
        <v>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4">
        <v>455.0</v>
      </c>
      <c r="C463" s="56" t="s">
        <v>503</v>
      </c>
      <c r="D463" s="67">
        <v>180162.16</v>
      </c>
      <c r="E463" s="56">
        <v>5.0</v>
      </c>
      <c r="F463" s="59">
        <f t="shared" si="6"/>
        <v>900810.8</v>
      </c>
      <c r="G463" s="56">
        <v>5.0</v>
      </c>
      <c r="H463" s="59">
        <f t="shared" si="1"/>
        <v>900810.8</v>
      </c>
      <c r="I463" s="39"/>
      <c r="J463" s="39"/>
      <c r="K463" s="60">
        <f t="shared" si="2"/>
        <v>0</v>
      </c>
      <c r="L463" s="39"/>
      <c r="M463" s="59">
        <f t="shared" si="3"/>
        <v>0</v>
      </c>
      <c r="N463" s="69">
        <v>5.0</v>
      </c>
      <c r="O463" s="62">
        <f t="shared" si="4"/>
        <v>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4">
        <v>456.0</v>
      </c>
      <c r="C464" s="56" t="s">
        <v>504</v>
      </c>
      <c r="D464" s="67">
        <v>140000.0</v>
      </c>
      <c r="E464" s="56">
        <v>1.0</v>
      </c>
      <c r="F464" s="59">
        <f t="shared" si="6"/>
        <v>140000</v>
      </c>
      <c r="G464" s="56">
        <v>1.0</v>
      </c>
      <c r="H464" s="59">
        <f t="shared" si="1"/>
        <v>140000</v>
      </c>
      <c r="I464" s="39"/>
      <c r="J464" s="39"/>
      <c r="K464" s="60">
        <f t="shared" si="2"/>
        <v>0</v>
      </c>
      <c r="L464" s="39"/>
      <c r="M464" s="59">
        <f t="shared" si="3"/>
        <v>0</v>
      </c>
      <c r="N464" s="69">
        <v>1.0</v>
      </c>
      <c r="O464" s="62">
        <f t="shared" si="4"/>
        <v>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4">
        <v>457.0</v>
      </c>
      <c r="C465" s="56" t="s">
        <v>505</v>
      </c>
      <c r="D465" s="67">
        <v>180162.16</v>
      </c>
      <c r="E465" s="56">
        <v>12.0</v>
      </c>
      <c r="F465" s="59">
        <f t="shared" si="6"/>
        <v>2161945.92</v>
      </c>
      <c r="G465" s="56">
        <v>12.0</v>
      </c>
      <c r="H465" s="59">
        <f t="shared" si="1"/>
        <v>2161945.92</v>
      </c>
      <c r="I465" s="39"/>
      <c r="J465" s="39"/>
      <c r="K465" s="60">
        <f t="shared" si="2"/>
        <v>0</v>
      </c>
      <c r="L465" s="39"/>
      <c r="M465" s="59">
        <f t="shared" si="3"/>
        <v>0</v>
      </c>
      <c r="N465" s="69">
        <v>12.0</v>
      </c>
      <c r="O465" s="62">
        <f t="shared" si="4"/>
        <v>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4">
        <v>458.0</v>
      </c>
      <c r="C466" s="56" t="s">
        <v>506</v>
      </c>
      <c r="D466" s="67">
        <v>180162.16</v>
      </c>
      <c r="E466" s="56">
        <v>1.0</v>
      </c>
      <c r="F466" s="59">
        <f t="shared" si="6"/>
        <v>180162.16</v>
      </c>
      <c r="G466" s="56">
        <v>1.0</v>
      </c>
      <c r="H466" s="59">
        <f t="shared" si="1"/>
        <v>180162.16</v>
      </c>
      <c r="I466" s="39"/>
      <c r="J466" s="39"/>
      <c r="K466" s="60">
        <f t="shared" si="2"/>
        <v>0</v>
      </c>
      <c r="L466" s="39"/>
      <c r="M466" s="59">
        <f t="shared" si="3"/>
        <v>0</v>
      </c>
      <c r="N466" s="69">
        <v>1.0</v>
      </c>
      <c r="O466" s="62">
        <f t="shared" si="4"/>
        <v>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4">
        <v>459.0</v>
      </c>
      <c r="C467" s="56" t="s">
        <v>507</v>
      </c>
      <c r="D467" s="67">
        <v>180162.16</v>
      </c>
      <c r="E467" s="56">
        <v>3.0</v>
      </c>
      <c r="F467" s="59">
        <f t="shared" si="6"/>
        <v>540486.48</v>
      </c>
      <c r="G467" s="56">
        <v>3.0</v>
      </c>
      <c r="H467" s="59">
        <f t="shared" si="1"/>
        <v>540486.48</v>
      </c>
      <c r="I467" s="39"/>
      <c r="J467" s="39"/>
      <c r="K467" s="60">
        <f t="shared" si="2"/>
        <v>0</v>
      </c>
      <c r="L467" s="39"/>
      <c r="M467" s="59">
        <f t="shared" si="3"/>
        <v>0</v>
      </c>
      <c r="N467" s="69">
        <v>3.0</v>
      </c>
      <c r="O467" s="62">
        <f t="shared" si="4"/>
        <v>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4">
        <v>460.0</v>
      </c>
      <c r="C468" s="56" t="s">
        <v>508</v>
      </c>
      <c r="D468" s="67">
        <v>180162.16</v>
      </c>
      <c r="E468" s="56">
        <v>0.0</v>
      </c>
      <c r="F468" s="59">
        <f t="shared" si="6"/>
        <v>0</v>
      </c>
      <c r="G468" s="56">
        <v>0.0</v>
      </c>
      <c r="H468" s="59">
        <f t="shared" si="1"/>
        <v>0</v>
      </c>
      <c r="I468" s="39"/>
      <c r="J468" s="39"/>
      <c r="K468" s="60">
        <f t="shared" si="2"/>
        <v>0</v>
      </c>
      <c r="L468" s="39"/>
      <c r="M468" s="59">
        <f t="shared" si="3"/>
        <v>0</v>
      </c>
      <c r="N468" s="69">
        <v>0.0</v>
      </c>
      <c r="O468" s="62">
        <f t="shared" si="4"/>
        <v>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4">
        <v>461.0</v>
      </c>
      <c r="C469" s="56" t="s">
        <v>509</v>
      </c>
      <c r="D469" s="67">
        <v>135000.0</v>
      </c>
      <c r="E469" s="56">
        <v>15.0</v>
      </c>
      <c r="F469" s="59">
        <f t="shared" si="6"/>
        <v>2025000</v>
      </c>
      <c r="G469" s="56">
        <v>15.0</v>
      </c>
      <c r="H469" s="59">
        <f t="shared" si="1"/>
        <v>2025000</v>
      </c>
      <c r="I469" s="39"/>
      <c r="J469" s="39"/>
      <c r="K469" s="60">
        <f t="shared" si="2"/>
        <v>0</v>
      </c>
      <c r="L469" s="39"/>
      <c r="M469" s="59">
        <f t="shared" si="3"/>
        <v>0</v>
      </c>
      <c r="N469" s="69">
        <v>15.0</v>
      </c>
      <c r="O469" s="62">
        <f t="shared" si="4"/>
        <v>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4">
        <v>462.0</v>
      </c>
      <c r="C470" s="56" t="s">
        <v>510</v>
      </c>
      <c r="D470" s="67">
        <v>202702.7</v>
      </c>
      <c r="E470" s="56">
        <v>2.0</v>
      </c>
      <c r="F470" s="59">
        <f t="shared" si="6"/>
        <v>405405.4</v>
      </c>
      <c r="G470" s="56">
        <v>2.0</v>
      </c>
      <c r="H470" s="59">
        <f t="shared" si="1"/>
        <v>405405.4</v>
      </c>
      <c r="I470" s="39"/>
      <c r="J470" s="39"/>
      <c r="K470" s="60">
        <f t="shared" si="2"/>
        <v>0</v>
      </c>
      <c r="L470" s="39"/>
      <c r="M470" s="59">
        <f t="shared" si="3"/>
        <v>0</v>
      </c>
      <c r="N470" s="69">
        <v>2.0</v>
      </c>
      <c r="O470" s="62">
        <f t="shared" si="4"/>
        <v>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4">
        <v>463.0</v>
      </c>
      <c r="C471" s="56" t="s">
        <v>511</v>
      </c>
      <c r="D471" s="67">
        <v>180162.16</v>
      </c>
      <c r="E471" s="56">
        <v>1.0</v>
      </c>
      <c r="F471" s="59">
        <f t="shared" si="6"/>
        <v>180162.16</v>
      </c>
      <c r="G471" s="56">
        <v>1.0</v>
      </c>
      <c r="H471" s="59">
        <f t="shared" si="1"/>
        <v>180162.16</v>
      </c>
      <c r="I471" s="39"/>
      <c r="J471" s="39"/>
      <c r="K471" s="60">
        <f t="shared" si="2"/>
        <v>0</v>
      </c>
      <c r="L471" s="39"/>
      <c r="M471" s="59">
        <f t="shared" si="3"/>
        <v>0</v>
      </c>
      <c r="N471" s="69">
        <v>1.0</v>
      </c>
      <c r="O471" s="62">
        <f t="shared" si="4"/>
        <v>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4">
        <v>464.0</v>
      </c>
      <c r="C472" s="56" t="s">
        <v>512</v>
      </c>
      <c r="D472" s="67">
        <v>189189.19</v>
      </c>
      <c r="E472" s="56">
        <v>1.0</v>
      </c>
      <c r="F472" s="59">
        <f t="shared" si="6"/>
        <v>189189.19</v>
      </c>
      <c r="G472" s="56">
        <v>1.0</v>
      </c>
      <c r="H472" s="59">
        <f t="shared" si="1"/>
        <v>189189.19</v>
      </c>
      <c r="I472" s="39"/>
      <c r="J472" s="39"/>
      <c r="K472" s="60">
        <f t="shared" si="2"/>
        <v>0</v>
      </c>
      <c r="L472" s="39"/>
      <c r="M472" s="59">
        <f t="shared" si="3"/>
        <v>0</v>
      </c>
      <c r="N472" s="69">
        <v>1.0</v>
      </c>
      <c r="O472" s="62">
        <f t="shared" si="4"/>
        <v>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4">
        <v>465.0</v>
      </c>
      <c r="C473" s="56" t="s">
        <v>513</v>
      </c>
      <c r="D473" s="67">
        <v>220000.0</v>
      </c>
      <c r="E473" s="56">
        <v>0.0</v>
      </c>
      <c r="F473" s="59">
        <f t="shared" si="6"/>
        <v>0</v>
      </c>
      <c r="G473" s="56">
        <v>0.0</v>
      </c>
      <c r="H473" s="59">
        <f t="shared" si="1"/>
        <v>0</v>
      </c>
      <c r="I473" s="39"/>
      <c r="J473" s="39"/>
      <c r="K473" s="60">
        <f t="shared" si="2"/>
        <v>0</v>
      </c>
      <c r="L473" s="39"/>
      <c r="M473" s="59">
        <f t="shared" si="3"/>
        <v>0</v>
      </c>
      <c r="N473" s="69">
        <v>0.0</v>
      </c>
      <c r="O473" s="62">
        <f t="shared" si="4"/>
        <v>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4">
        <v>466.0</v>
      </c>
      <c r="C474" s="56" t="s">
        <v>514</v>
      </c>
      <c r="D474" s="67">
        <v>162162.16</v>
      </c>
      <c r="E474" s="56">
        <v>48.0</v>
      </c>
      <c r="F474" s="59">
        <f t="shared" si="6"/>
        <v>7783783.68</v>
      </c>
      <c r="G474" s="56">
        <v>48.0</v>
      </c>
      <c r="H474" s="59">
        <f t="shared" si="1"/>
        <v>7783783.68</v>
      </c>
      <c r="I474" s="39"/>
      <c r="J474" s="39"/>
      <c r="K474" s="60">
        <f t="shared" si="2"/>
        <v>0</v>
      </c>
      <c r="L474" s="39"/>
      <c r="M474" s="59">
        <f t="shared" si="3"/>
        <v>0</v>
      </c>
      <c r="N474" s="69">
        <v>48.0</v>
      </c>
      <c r="O474" s="62">
        <f t="shared" si="4"/>
        <v>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4">
        <v>467.0</v>
      </c>
      <c r="C475" s="56" t="s">
        <v>515</v>
      </c>
      <c r="D475" s="67">
        <v>410000.0</v>
      </c>
      <c r="E475" s="56">
        <v>20.0</v>
      </c>
      <c r="F475" s="59">
        <f t="shared" si="6"/>
        <v>8200000</v>
      </c>
      <c r="G475" s="56">
        <v>20.0</v>
      </c>
      <c r="H475" s="59">
        <f t="shared" si="1"/>
        <v>8200000</v>
      </c>
      <c r="I475" s="39"/>
      <c r="J475" s="39"/>
      <c r="K475" s="60">
        <f t="shared" si="2"/>
        <v>0</v>
      </c>
      <c r="L475" s="39"/>
      <c r="M475" s="59">
        <f t="shared" si="3"/>
        <v>0</v>
      </c>
      <c r="N475" s="69">
        <v>20.0</v>
      </c>
      <c r="O475" s="62">
        <f t="shared" si="4"/>
        <v>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4">
        <v>468.0</v>
      </c>
      <c r="C476" s="56" t="s">
        <v>516</v>
      </c>
      <c r="D476" s="67">
        <v>320000.0</v>
      </c>
      <c r="E476" s="56">
        <v>5.0</v>
      </c>
      <c r="F476" s="59">
        <f t="shared" si="6"/>
        <v>1600000</v>
      </c>
      <c r="G476" s="56">
        <v>5.0</v>
      </c>
      <c r="H476" s="59">
        <f t="shared" si="1"/>
        <v>1600000</v>
      </c>
      <c r="I476" s="39"/>
      <c r="J476" s="39"/>
      <c r="K476" s="60">
        <f t="shared" si="2"/>
        <v>0</v>
      </c>
      <c r="L476" s="39"/>
      <c r="M476" s="59">
        <f t="shared" si="3"/>
        <v>0</v>
      </c>
      <c r="N476" s="69">
        <v>5.0</v>
      </c>
      <c r="O476" s="62">
        <f t="shared" si="4"/>
        <v>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4">
        <v>469.0</v>
      </c>
      <c r="C477" s="56" t="s">
        <v>517</v>
      </c>
      <c r="D477" s="67">
        <v>189189.19</v>
      </c>
      <c r="E477" s="56">
        <v>13.0</v>
      </c>
      <c r="F477" s="59">
        <f t="shared" si="6"/>
        <v>2459459.47</v>
      </c>
      <c r="G477" s="56">
        <v>13.0</v>
      </c>
      <c r="H477" s="59">
        <f t="shared" si="1"/>
        <v>2459459.47</v>
      </c>
      <c r="I477" s="39"/>
      <c r="J477" s="39"/>
      <c r="K477" s="60">
        <f t="shared" si="2"/>
        <v>0</v>
      </c>
      <c r="L477" s="39"/>
      <c r="M477" s="59">
        <f t="shared" si="3"/>
        <v>0</v>
      </c>
      <c r="N477" s="69">
        <v>13.0</v>
      </c>
      <c r="O477" s="62">
        <f t="shared" si="4"/>
        <v>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4">
        <v>470.0</v>
      </c>
      <c r="C478" s="56" t="s">
        <v>518</v>
      </c>
      <c r="D478" s="67">
        <v>225225.23</v>
      </c>
      <c r="E478" s="56">
        <v>5.0</v>
      </c>
      <c r="F478" s="59">
        <f t="shared" si="6"/>
        <v>1126126.15</v>
      </c>
      <c r="G478" s="56">
        <v>5.0</v>
      </c>
      <c r="H478" s="59">
        <f t="shared" si="1"/>
        <v>1126126.15</v>
      </c>
      <c r="I478" s="39"/>
      <c r="J478" s="39"/>
      <c r="K478" s="60">
        <f t="shared" si="2"/>
        <v>0</v>
      </c>
      <c r="L478" s="39"/>
      <c r="M478" s="59">
        <f t="shared" si="3"/>
        <v>0</v>
      </c>
      <c r="N478" s="69">
        <v>5.0</v>
      </c>
      <c r="O478" s="62">
        <f t="shared" si="4"/>
        <v>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4">
        <v>471.0</v>
      </c>
      <c r="C479" s="56" t="s">
        <v>519</v>
      </c>
      <c r="D479" s="67">
        <v>178500.0</v>
      </c>
      <c r="E479" s="56">
        <v>96.0</v>
      </c>
      <c r="F479" s="59">
        <f t="shared" si="6"/>
        <v>17136000</v>
      </c>
      <c r="G479" s="56">
        <v>96.0</v>
      </c>
      <c r="H479" s="59">
        <f t="shared" si="1"/>
        <v>17136000</v>
      </c>
      <c r="I479" s="39"/>
      <c r="J479" s="39"/>
      <c r="K479" s="60">
        <f t="shared" si="2"/>
        <v>0</v>
      </c>
      <c r="L479" s="39"/>
      <c r="M479" s="59">
        <f t="shared" si="3"/>
        <v>0</v>
      </c>
      <c r="N479" s="69">
        <v>96.0</v>
      </c>
      <c r="O479" s="62">
        <f t="shared" si="4"/>
        <v>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4">
        <v>472.0</v>
      </c>
      <c r="C480" s="56" t="s">
        <v>520</v>
      </c>
      <c r="D480" s="67">
        <v>240000.0</v>
      </c>
      <c r="E480" s="56">
        <v>19.0</v>
      </c>
      <c r="F480" s="59">
        <f t="shared" si="6"/>
        <v>4560000</v>
      </c>
      <c r="G480" s="56">
        <v>19.0</v>
      </c>
      <c r="H480" s="59">
        <f t="shared" si="1"/>
        <v>4560000</v>
      </c>
      <c r="I480" s="39"/>
      <c r="J480" s="39"/>
      <c r="K480" s="60">
        <f t="shared" si="2"/>
        <v>0</v>
      </c>
      <c r="L480" s="39"/>
      <c r="M480" s="59">
        <f t="shared" si="3"/>
        <v>0</v>
      </c>
      <c r="N480" s="69">
        <v>19.0</v>
      </c>
      <c r="O480" s="62">
        <f t="shared" si="4"/>
        <v>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4">
        <v>473.0</v>
      </c>
      <c r="C481" s="56" t="s">
        <v>521</v>
      </c>
      <c r="D481" s="67">
        <v>252300.0</v>
      </c>
      <c r="E481" s="56">
        <v>20.0</v>
      </c>
      <c r="F481" s="59">
        <f t="shared" si="6"/>
        <v>5046000</v>
      </c>
      <c r="G481" s="56">
        <v>20.0</v>
      </c>
      <c r="H481" s="59">
        <f t="shared" si="1"/>
        <v>5046000</v>
      </c>
      <c r="I481" s="39"/>
      <c r="J481" s="39"/>
      <c r="K481" s="60">
        <f t="shared" si="2"/>
        <v>0</v>
      </c>
      <c r="L481" s="39"/>
      <c r="M481" s="59">
        <f t="shared" si="3"/>
        <v>0</v>
      </c>
      <c r="N481" s="69">
        <v>20.0</v>
      </c>
      <c r="O481" s="62">
        <f t="shared" si="4"/>
        <v>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4">
        <v>474.0</v>
      </c>
      <c r="C482" s="56" t="s">
        <v>522</v>
      </c>
      <c r="D482" s="67">
        <v>280000.0</v>
      </c>
      <c r="E482" s="56">
        <v>5.0</v>
      </c>
      <c r="F482" s="59">
        <f t="shared" si="6"/>
        <v>1400000</v>
      </c>
      <c r="G482" s="56">
        <v>5.0</v>
      </c>
      <c r="H482" s="59">
        <f t="shared" si="1"/>
        <v>1400000</v>
      </c>
      <c r="I482" s="39"/>
      <c r="J482" s="39"/>
      <c r="K482" s="60">
        <f t="shared" si="2"/>
        <v>0</v>
      </c>
      <c r="L482" s="39"/>
      <c r="M482" s="59">
        <f t="shared" si="3"/>
        <v>0</v>
      </c>
      <c r="N482" s="69">
        <v>5.0</v>
      </c>
      <c r="O482" s="62">
        <f t="shared" si="4"/>
        <v>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4">
        <v>475.0</v>
      </c>
      <c r="C483" s="56" t="s">
        <v>523</v>
      </c>
      <c r="D483" s="67">
        <v>210000.0</v>
      </c>
      <c r="E483" s="56">
        <v>2.0</v>
      </c>
      <c r="F483" s="59">
        <f t="shared" si="6"/>
        <v>420000</v>
      </c>
      <c r="G483" s="56">
        <v>2.0</v>
      </c>
      <c r="H483" s="59">
        <f t="shared" si="1"/>
        <v>420000</v>
      </c>
      <c r="I483" s="39"/>
      <c r="J483" s="39"/>
      <c r="K483" s="60">
        <f t="shared" si="2"/>
        <v>0</v>
      </c>
      <c r="L483" s="39"/>
      <c r="M483" s="59">
        <f t="shared" si="3"/>
        <v>0</v>
      </c>
      <c r="N483" s="69">
        <v>2.0</v>
      </c>
      <c r="O483" s="62">
        <f t="shared" si="4"/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4">
        <v>476.0</v>
      </c>
      <c r="C484" s="56" t="s">
        <v>524</v>
      </c>
      <c r="D484" s="67">
        <v>131081.08</v>
      </c>
      <c r="E484" s="56">
        <v>7.0</v>
      </c>
      <c r="F484" s="59">
        <f t="shared" si="6"/>
        <v>917567.56</v>
      </c>
      <c r="G484" s="56">
        <v>7.0</v>
      </c>
      <c r="H484" s="59">
        <f t="shared" si="1"/>
        <v>917567.56</v>
      </c>
      <c r="I484" s="39"/>
      <c r="J484" s="39"/>
      <c r="K484" s="60">
        <f t="shared" si="2"/>
        <v>0</v>
      </c>
      <c r="L484" s="39"/>
      <c r="M484" s="59">
        <f t="shared" si="3"/>
        <v>0</v>
      </c>
      <c r="N484" s="69">
        <v>7.0</v>
      </c>
      <c r="O484" s="62">
        <f t="shared" si="4"/>
        <v>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4">
        <v>477.0</v>
      </c>
      <c r="C485" s="56" t="s">
        <v>525</v>
      </c>
      <c r="D485" s="67">
        <v>172072.07</v>
      </c>
      <c r="E485" s="56">
        <v>25.0</v>
      </c>
      <c r="F485" s="59">
        <f t="shared" si="6"/>
        <v>4301801.75</v>
      </c>
      <c r="G485" s="56">
        <v>25.0</v>
      </c>
      <c r="H485" s="59">
        <f t="shared" si="1"/>
        <v>4301801.75</v>
      </c>
      <c r="I485" s="39"/>
      <c r="J485" s="39"/>
      <c r="K485" s="60">
        <f t="shared" si="2"/>
        <v>0</v>
      </c>
      <c r="L485" s="39"/>
      <c r="M485" s="59">
        <f t="shared" si="3"/>
        <v>0</v>
      </c>
      <c r="N485" s="69">
        <v>25.0</v>
      </c>
      <c r="O485" s="62">
        <f t="shared" si="4"/>
        <v>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4">
        <v>478.0</v>
      </c>
      <c r="C486" s="56" t="s">
        <v>526</v>
      </c>
      <c r="D486" s="67">
        <v>210000.0</v>
      </c>
      <c r="E486" s="56">
        <v>41.0</v>
      </c>
      <c r="F486" s="59">
        <f t="shared" si="6"/>
        <v>8610000</v>
      </c>
      <c r="G486" s="56">
        <v>41.0</v>
      </c>
      <c r="H486" s="59">
        <f t="shared" si="1"/>
        <v>8610000</v>
      </c>
      <c r="I486" s="39"/>
      <c r="J486" s="39"/>
      <c r="K486" s="60">
        <f t="shared" si="2"/>
        <v>0</v>
      </c>
      <c r="L486" s="39"/>
      <c r="M486" s="59">
        <f t="shared" si="3"/>
        <v>0</v>
      </c>
      <c r="N486" s="69">
        <v>41.0</v>
      </c>
      <c r="O486" s="62">
        <f t="shared" si="4"/>
        <v>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4">
        <v>479.0</v>
      </c>
      <c r="C487" s="56" t="s">
        <v>527</v>
      </c>
      <c r="D487" s="67">
        <v>249480.0</v>
      </c>
      <c r="E487" s="56">
        <v>5.0</v>
      </c>
      <c r="F487" s="59">
        <f t="shared" si="6"/>
        <v>1247400</v>
      </c>
      <c r="G487" s="56">
        <v>5.0</v>
      </c>
      <c r="H487" s="59">
        <f t="shared" si="1"/>
        <v>1247400</v>
      </c>
      <c r="I487" s="39"/>
      <c r="J487" s="39"/>
      <c r="K487" s="60">
        <f t="shared" si="2"/>
        <v>0</v>
      </c>
      <c r="L487" s="39"/>
      <c r="M487" s="59">
        <f t="shared" si="3"/>
        <v>0</v>
      </c>
      <c r="N487" s="69">
        <v>5.0</v>
      </c>
      <c r="O487" s="62">
        <f t="shared" si="4"/>
        <v>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4">
        <v>480.0</v>
      </c>
      <c r="C488" s="56" t="s">
        <v>528</v>
      </c>
      <c r="D488" s="67">
        <v>261261.26</v>
      </c>
      <c r="E488" s="56">
        <v>2.0</v>
      </c>
      <c r="F488" s="59">
        <f t="shared" si="6"/>
        <v>522522.52</v>
      </c>
      <c r="G488" s="56">
        <v>2.0</v>
      </c>
      <c r="H488" s="59">
        <f t="shared" si="1"/>
        <v>522522.52</v>
      </c>
      <c r="I488" s="39"/>
      <c r="J488" s="39"/>
      <c r="K488" s="60">
        <f t="shared" si="2"/>
        <v>0</v>
      </c>
      <c r="L488" s="39"/>
      <c r="M488" s="59">
        <f t="shared" si="3"/>
        <v>0</v>
      </c>
      <c r="N488" s="69">
        <v>2.0</v>
      </c>
      <c r="O488" s="62">
        <f t="shared" si="4"/>
        <v>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4">
        <v>481.0</v>
      </c>
      <c r="C489" s="56" t="s">
        <v>529</v>
      </c>
      <c r="D489" s="67">
        <v>261261.26</v>
      </c>
      <c r="E489" s="56">
        <v>8.0</v>
      </c>
      <c r="F489" s="59">
        <f t="shared" si="6"/>
        <v>2090090.08</v>
      </c>
      <c r="G489" s="56">
        <v>8.0</v>
      </c>
      <c r="H489" s="59">
        <f t="shared" si="1"/>
        <v>2090090.08</v>
      </c>
      <c r="I489" s="39"/>
      <c r="J489" s="39"/>
      <c r="K489" s="60">
        <f t="shared" si="2"/>
        <v>0</v>
      </c>
      <c r="L489" s="39"/>
      <c r="M489" s="59">
        <f t="shared" si="3"/>
        <v>0</v>
      </c>
      <c r="N489" s="69">
        <v>8.0</v>
      </c>
      <c r="O489" s="62">
        <f t="shared" si="4"/>
        <v>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4">
        <v>482.0</v>
      </c>
      <c r="C490" s="56" t="s">
        <v>530</v>
      </c>
      <c r="D490" s="67">
        <v>231000.0</v>
      </c>
      <c r="E490" s="56">
        <v>6.0</v>
      </c>
      <c r="F490" s="59">
        <f t="shared" si="6"/>
        <v>1386000</v>
      </c>
      <c r="G490" s="56">
        <v>6.0</v>
      </c>
      <c r="H490" s="59">
        <f t="shared" si="1"/>
        <v>1386000</v>
      </c>
      <c r="I490" s="39"/>
      <c r="J490" s="39"/>
      <c r="K490" s="60">
        <f t="shared" si="2"/>
        <v>0</v>
      </c>
      <c r="L490" s="39"/>
      <c r="M490" s="59">
        <f t="shared" si="3"/>
        <v>0</v>
      </c>
      <c r="N490" s="69">
        <v>6.0</v>
      </c>
      <c r="O490" s="62">
        <f t="shared" si="4"/>
        <v>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4">
        <v>483.0</v>
      </c>
      <c r="C491" s="56" t="s">
        <v>531</v>
      </c>
      <c r="D491" s="67">
        <v>270000.0</v>
      </c>
      <c r="E491" s="56">
        <v>0.0</v>
      </c>
      <c r="F491" s="59">
        <f t="shared" si="6"/>
        <v>0</v>
      </c>
      <c r="G491" s="56">
        <v>0.0</v>
      </c>
      <c r="H491" s="59">
        <f t="shared" si="1"/>
        <v>0</v>
      </c>
      <c r="I491" s="39"/>
      <c r="J491" s="39"/>
      <c r="K491" s="60">
        <f t="shared" si="2"/>
        <v>0</v>
      </c>
      <c r="L491" s="39"/>
      <c r="M491" s="59">
        <f t="shared" si="3"/>
        <v>0</v>
      </c>
      <c r="N491" s="69">
        <v>0.0</v>
      </c>
      <c r="O491" s="62">
        <f t="shared" si="4"/>
        <v>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4">
        <v>484.0</v>
      </c>
      <c r="C492" s="56" t="s">
        <v>532</v>
      </c>
      <c r="D492" s="67">
        <v>378000.0</v>
      </c>
      <c r="E492" s="56">
        <v>10.0</v>
      </c>
      <c r="F492" s="59">
        <f t="shared" si="6"/>
        <v>3780000</v>
      </c>
      <c r="G492" s="56">
        <v>10.0</v>
      </c>
      <c r="H492" s="59">
        <f t="shared" si="1"/>
        <v>3780000</v>
      </c>
      <c r="I492" s="39"/>
      <c r="J492" s="39"/>
      <c r="K492" s="60">
        <f t="shared" si="2"/>
        <v>0</v>
      </c>
      <c r="L492" s="39"/>
      <c r="M492" s="59">
        <f t="shared" si="3"/>
        <v>0</v>
      </c>
      <c r="N492" s="69">
        <v>10.0</v>
      </c>
      <c r="O492" s="62">
        <f t="shared" si="4"/>
        <v>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4">
        <v>485.0</v>
      </c>
      <c r="C493" s="56" t="s">
        <v>533</v>
      </c>
      <c r="D493" s="67">
        <v>290000.0</v>
      </c>
      <c r="E493" s="56">
        <v>5.0</v>
      </c>
      <c r="F493" s="59">
        <f t="shared" si="6"/>
        <v>1450000</v>
      </c>
      <c r="G493" s="56">
        <v>5.0</v>
      </c>
      <c r="H493" s="59">
        <f t="shared" si="1"/>
        <v>1450000</v>
      </c>
      <c r="I493" s="39"/>
      <c r="J493" s="39"/>
      <c r="K493" s="60">
        <f t="shared" si="2"/>
        <v>0</v>
      </c>
      <c r="L493" s="39"/>
      <c r="M493" s="59">
        <f t="shared" si="3"/>
        <v>0</v>
      </c>
      <c r="N493" s="69">
        <v>5.0</v>
      </c>
      <c r="O493" s="62">
        <f t="shared" si="4"/>
        <v>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4">
        <v>486.0</v>
      </c>
      <c r="C494" s="56" t="s">
        <v>534</v>
      </c>
      <c r="D494" s="67">
        <v>157657.66</v>
      </c>
      <c r="E494" s="56">
        <v>6.0</v>
      </c>
      <c r="F494" s="59">
        <f t="shared" si="6"/>
        <v>945945.96</v>
      </c>
      <c r="G494" s="56">
        <v>6.0</v>
      </c>
      <c r="H494" s="59">
        <f t="shared" si="1"/>
        <v>945945.96</v>
      </c>
      <c r="I494" s="39"/>
      <c r="J494" s="39"/>
      <c r="K494" s="60">
        <f t="shared" si="2"/>
        <v>0</v>
      </c>
      <c r="L494" s="39"/>
      <c r="M494" s="59">
        <f t="shared" si="3"/>
        <v>0</v>
      </c>
      <c r="N494" s="69">
        <v>6.0</v>
      </c>
      <c r="O494" s="62">
        <f t="shared" si="4"/>
        <v>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4">
        <v>487.0</v>
      </c>
      <c r="C495" s="56" t="s">
        <v>535</v>
      </c>
      <c r="D495" s="67">
        <v>131081.08</v>
      </c>
      <c r="E495" s="56">
        <v>3.0</v>
      </c>
      <c r="F495" s="59">
        <f t="shared" si="6"/>
        <v>393243.24</v>
      </c>
      <c r="G495" s="56">
        <v>3.0</v>
      </c>
      <c r="H495" s="59">
        <f t="shared" si="1"/>
        <v>393243.24</v>
      </c>
      <c r="I495" s="39"/>
      <c r="J495" s="39"/>
      <c r="K495" s="60">
        <f t="shared" si="2"/>
        <v>0</v>
      </c>
      <c r="L495" s="39"/>
      <c r="M495" s="59">
        <f t="shared" si="3"/>
        <v>0</v>
      </c>
      <c r="N495" s="69">
        <v>3.0</v>
      </c>
      <c r="O495" s="62">
        <f t="shared" si="4"/>
        <v>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4">
        <v>488.0</v>
      </c>
      <c r="C496" s="56" t="s">
        <v>536</v>
      </c>
      <c r="D496" s="67">
        <v>228800.0</v>
      </c>
      <c r="E496" s="56">
        <v>11.0</v>
      </c>
      <c r="F496" s="59">
        <f t="shared" si="6"/>
        <v>2516800</v>
      </c>
      <c r="G496" s="56">
        <v>11.0</v>
      </c>
      <c r="H496" s="59">
        <f t="shared" si="1"/>
        <v>2516800</v>
      </c>
      <c r="I496" s="39"/>
      <c r="J496" s="39"/>
      <c r="K496" s="60">
        <f t="shared" si="2"/>
        <v>0</v>
      </c>
      <c r="L496" s="39"/>
      <c r="M496" s="59">
        <f t="shared" si="3"/>
        <v>0</v>
      </c>
      <c r="N496" s="69">
        <v>11.0</v>
      </c>
      <c r="O496" s="62">
        <f t="shared" si="4"/>
        <v>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4">
        <v>489.0</v>
      </c>
      <c r="C497" s="56" t="s">
        <v>537</v>
      </c>
      <c r="D497" s="67">
        <v>138689.19</v>
      </c>
      <c r="E497" s="56">
        <v>13.0</v>
      </c>
      <c r="F497" s="59">
        <f t="shared" si="6"/>
        <v>1802959.47</v>
      </c>
      <c r="G497" s="56">
        <v>13.0</v>
      </c>
      <c r="H497" s="59">
        <f t="shared" si="1"/>
        <v>1802959.47</v>
      </c>
      <c r="I497" s="39"/>
      <c r="J497" s="39"/>
      <c r="K497" s="60">
        <f t="shared" si="2"/>
        <v>0</v>
      </c>
      <c r="L497" s="39"/>
      <c r="M497" s="59">
        <f t="shared" si="3"/>
        <v>0</v>
      </c>
      <c r="N497" s="69">
        <v>13.0</v>
      </c>
      <c r="O497" s="62">
        <f t="shared" si="4"/>
        <v>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4">
        <v>490.0</v>
      </c>
      <c r="C498" s="56" t="s">
        <v>538</v>
      </c>
      <c r="D498" s="67">
        <v>162162.16</v>
      </c>
      <c r="E498" s="56">
        <v>25.0</v>
      </c>
      <c r="F498" s="59">
        <f t="shared" si="6"/>
        <v>4054054</v>
      </c>
      <c r="G498" s="56">
        <v>25.0</v>
      </c>
      <c r="H498" s="59">
        <f t="shared" si="1"/>
        <v>4054054</v>
      </c>
      <c r="I498" s="39"/>
      <c r="J498" s="39"/>
      <c r="K498" s="60">
        <f t="shared" si="2"/>
        <v>0</v>
      </c>
      <c r="L498" s="39"/>
      <c r="M498" s="59">
        <f t="shared" si="3"/>
        <v>0</v>
      </c>
      <c r="N498" s="69">
        <v>25.0</v>
      </c>
      <c r="O498" s="62">
        <f t="shared" si="4"/>
        <v>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4">
        <v>491.0</v>
      </c>
      <c r="C499" s="56" t="s">
        <v>539</v>
      </c>
      <c r="D499" s="67">
        <v>157657.66</v>
      </c>
      <c r="E499" s="56">
        <v>34.0</v>
      </c>
      <c r="F499" s="59">
        <f t="shared" si="6"/>
        <v>5360360.44</v>
      </c>
      <c r="G499" s="56">
        <v>34.0</v>
      </c>
      <c r="H499" s="59">
        <f t="shared" si="1"/>
        <v>5360360.44</v>
      </c>
      <c r="I499" s="39"/>
      <c r="J499" s="39"/>
      <c r="K499" s="60">
        <f t="shared" si="2"/>
        <v>0</v>
      </c>
      <c r="L499" s="39"/>
      <c r="M499" s="59">
        <f t="shared" si="3"/>
        <v>0</v>
      </c>
      <c r="N499" s="69">
        <v>34.0</v>
      </c>
      <c r="O499" s="62">
        <f t="shared" si="4"/>
        <v>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4">
        <v>492.0</v>
      </c>
      <c r="C500" s="56" t="s">
        <v>540</v>
      </c>
      <c r="D500" s="67">
        <v>297900.0</v>
      </c>
      <c r="E500" s="56">
        <v>76.0</v>
      </c>
      <c r="F500" s="59">
        <f t="shared" si="6"/>
        <v>22640400</v>
      </c>
      <c r="G500" s="56">
        <v>76.0</v>
      </c>
      <c r="H500" s="59">
        <f t="shared" si="1"/>
        <v>22640400</v>
      </c>
      <c r="I500" s="39"/>
      <c r="J500" s="39"/>
      <c r="K500" s="60">
        <f t="shared" si="2"/>
        <v>0</v>
      </c>
      <c r="L500" s="39"/>
      <c r="M500" s="59">
        <f t="shared" si="3"/>
        <v>0</v>
      </c>
      <c r="N500" s="69">
        <v>76.0</v>
      </c>
      <c r="O500" s="62">
        <f t="shared" si="4"/>
        <v>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4">
        <v>493.0</v>
      </c>
      <c r="C501" s="56" t="s">
        <v>541</v>
      </c>
      <c r="D501" s="67">
        <v>252300.0</v>
      </c>
      <c r="E501" s="56">
        <v>124.0</v>
      </c>
      <c r="F501" s="59">
        <f t="shared" si="6"/>
        <v>31285200</v>
      </c>
      <c r="G501" s="56">
        <v>124.0</v>
      </c>
      <c r="H501" s="59">
        <f t="shared" si="1"/>
        <v>31285200</v>
      </c>
      <c r="I501" s="39"/>
      <c r="J501" s="39"/>
      <c r="K501" s="60">
        <f t="shared" si="2"/>
        <v>0</v>
      </c>
      <c r="L501" s="39"/>
      <c r="M501" s="59">
        <f t="shared" si="3"/>
        <v>0</v>
      </c>
      <c r="N501" s="69">
        <v>124.0</v>
      </c>
      <c r="O501" s="62">
        <f t="shared" si="4"/>
        <v>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4">
        <v>494.0</v>
      </c>
      <c r="C502" s="56" t="s">
        <v>542</v>
      </c>
      <c r="D502" s="67">
        <v>167994.59</v>
      </c>
      <c r="E502" s="56">
        <v>27.0</v>
      </c>
      <c r="F502" s="59">
        <f t="shared" si="6"/>
        <v>4535853.93</v>
      </c>
      <c r="G502" s="56">
        <v>27.0</v>
      </c>
      <c r="H502" s="59">
        <f t="shared" si="1"/>
        <v>4535853.93</v>
      </c>
      <c r="I502" s="39"/>
      <c r="J502" s="39"/>
      <c r="K502" s="60">
        <f t="shared" si="2"/>
        <v>0</v>
      </c>
      <c r="L502" s="39"/>
      <c r="M502" s="59">
        <f t="shared" si="3"/>
        <v>0</v>
      </c>
      <c r="N502" s="69">
        <v>27.0</v>
      </c>
      <c r="O502" s="62">
        <f t="shared" si="4"/>
        <v>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4">
        <v>495.0</v>
      </c>
      <c r="C503" s="56" t="s">
        <v>543</v>
      </c>
      <c r="D503" s="67">
        <v>231000.0</v>
      </c>
      <c r="E503" s="56">
        <v>183.0</v>
      </c>
      <c r="F503" s="59">
        <f t="shared" si="6"/>
        <v>42273000</v>
      </c>
      <c r="G503" s="56">
        <v>183.0</v>
      </c>
      <c r="H503" s="59">
        <f t="shared" si="1"/>
        <v>42273000</v>
      </c>
      <c r="I503" s="39"/>
      <c r="J503" s="39"/>
      <c r="K503" s="60">
        <f t="shared" si="2"/>
        <v>0</v>
      </c>
      <c r="L503" s="39"/>
      <c r="M503" s="59">
        <f t="shared" si="3"/>
        <v>0</v>
      </c>
      <c r="N503" s="69">
        <v>183.0</v>
      </c>
      <c r="O503" s="62">
        <f t="shared" si="4"/>
        <v>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4">
        <v>496.0</v>
      </c>
      <c r="C504" s="56" t="s">
        <v>544</v>
      </c>
      <c r="D504" s="67">
        <v>172072.07</v>
      </c>
      <c r="E504" s="56">
        <v>5.0</v>
      </c>
      <c r="F504" s="59">
        <f t="shared" si="6"/>
        <v>860360.35</v>
      </c>
      <c r="G504" s="56">
        <v>5.0</v>
      </c>
      <c r="H504" s="59">
        <f t="shared" si="1"/>
        <v>860360.35</v>
      </c>
      <c r="I504" s="39"/>
      <c r="J504" s="39"/>
      <c r="K504" s="60">
        <f t="shared" si="2"/>
        <v>0</v>
      </c>
      <c r="L504" s="39"/>
      <c r="M504" s="59">
        <f t="shared" si="3"/>
        <v>0</v>
      </c>
      <c r="N504" s="69">
        <v>5.0</v>
      </c>
      <c r="O504" s="62">
        <f t="shared" si="4"/>
        <v>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4">
        <v>497.0</v>
      </c>
      <c r="C505" s="56" t="s">
        <v>545</v>
      </c>
      <c r="D505" s="67">
        <v>254054.05</v>
      </c>
      <c r="E505" s="56">
        <v>6.0</v>
      </c>
      <c r="F505" s="59">
        <f t="shared" si="6"/>
        <v>1524324.3</v>
      </c>
      <c r="G505" s="56">
        <v>6.0</v>
      </c>
      <c r="H505" s="59">
        <f t="shared" si="1"/>
        <v>1524324.3</v>
      </c>
      <c r="I505" s="39"/>
      <c r="J505" s="39"/>
      <c r="K505" s="60">
        <f t="shared" si="2"/>
        <v>0</v>
      </c>
      <c r="L505" s="39"/>
      <c r="M505" s="59">
        <f t="shared" si="3"/>
        <v>0</v>
      </c>
      <c r="N505" s="69">
        <v>6.0</v>
      </c>
      <c r="O505" s="62">
        <f t="shared" si="4"/>
        <v>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4">
        <v>498.0</v>
      </c>
      <c r="C506" s="56" t="s">
        <v>546</v>
      </c>
      <c r="D506" s="67">
        <v>297900.0</v>
      </c>
      <c r="E506" s="56">
        <v>2.0</v>
      </c>
      <c r="F506" s="59">
        <f t="shared" si="6"/>
        <v>595800</v>
      </c>
      <c r="G506" s="56">
        <v>2.0</v>
      </c>
      <c r="H506" s="59">
        <f t="shared" si="1"/>
        <v>595800</v>
      </c>
      <c r="I506" s="39"/>
      <c r="J506" s="39"/>
      <c r="K506" s="60">
        <f t="shared" si="2"/>
        <v>0</v>
      </c>
      <c r="L506" s="39"/>
      <c r="M506" s="59">
        <f t="shared" si="3"/>
        <v>0</v>
      </c>
      <c r="N506" s="69">
        <v>2.0</v>
      </c>
      <c r="O506" s="62">
        <f t="shared" si="4"/>
        <v>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4">
        <v>499.0</v>
      </c>
      <c r="C507" s="56" t="s">
        <v>547</v>
      </c>
      <c r="D507" s="67">
        <v>180169.37</v>
      </c>
      <c r="E507" s="56">
        <v>11.0</v>
      </c>
      <c r="F507" s="59">
        <f t="shared" si="6"/>
        <v>1981863.07</v>
      </c>
      <c r="G507" s="56">
        <v>11.0</v>
      </c>
      <c r="H507" s="59">
        <f t="shared" si="1"/>
        <v>1981863.07</v>
      </c>
      <c r="I507" s="39"/>
      <c r="J507" s="39"/>
      <c r="K507" s="60">
        <f t="shared" si="2"/>
        <v>0</v>
      </c>
      <c r="L507" s="39"/>
      <c r="M507" s="59">
        <f t="shared" si="3"/>
        <v>0</v>
      </c>
      <c r="N507" s="69">
        <v>11.0</v>
      </c>
      <c r="O507" s="62">
        <f t="shared" si="4"/>
        <v>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4">
        <v>500.0</v>
      </c>
      <c r="C508" s="56" t="s">
        <v>548</v>
      </c>
      <c r="D508" s="67">
        <v>131081.08</v>
      </c>
      <c r="E508" s="56">
        <v>13.0</v>
      </c>
      <c r="F508" s="59">
        <f t="shared" si="6"/>
        <v>1704054.04</v>
      </c>
      <c r="G508" s="56">
        <v>13.0</v>
      </c>
      <c r="H508" s="59">
        <f t="shared" si="1"/>
        <v>1704054.04</v>
      </c>
      <c r="I508" s="39"/>
      <c r="J508" s="39"/>
      <c r="K508" s="60">
        <f t="shared" si="2"/>
        <v>0</v>
      </c>
      <c r="L508" s="39"/>
      <c r="M508" s="59">
        <f t="shared" si="3"/>
        <v>0</v>
      </c>
      <c r="N508" s="69">
        <v>13.0</v>
      </c>
      <c r="O508" s="62">
        <f t="shared" si="4"/>
        <v>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4">
        <v>501.0</v>
      </c>
      <c r="C509" s="56" t="s">
        <v>549</v>
      </c>
      <c r="D509" s="67">
        <v>131081.08</v>
      </c>
      <c r="E509" s="56">
        <v>6.0</v>
      </c>
      <c r="F509" s="59">
        <f t="shared" si="6"/>
        <v>786486.48</v>
      </c>
      <c r="G509" s="56">
        <v>6.0</v>
      </c>
      <c r="H509" s="59">
        <f t="shared" si="1"/>
        <v>786486.48</v>
      </c>
      <c r="I509" s="39"/>
      <c r="J509" s="39"/>
      <c r="K509" s="60">
        <f t="shared" si="2"/>
        <v>0</v>
      </c>
      <c r="L509" s="39"/>
      <c r="M509" s="59">
        <f t="shared" si="3"/>
        <v>0</v>
      </c>
      <c r="N509" s="69">
        <v>6.0</v>
      </c>
      <c r="O509" s="62">
        <f t="shared" si="4"/>
        <v>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4">
        <v>502.0</v>
      </c>
      <c r="C510" s="56" t="s">
        <v>550</v>
      </c>
      <c r="D510" s="67">
        <v>131081.08</v>
      </c>
      <c r="E510" s="56">
        <v>2.0</v>
      </c>
      <c r="F510" s="59">
        <f t="shared" si="6"/>
        <v>262162.16</v>
      </c>
      <c r="G510" s="56">
        <v>2.0</v>
      </c>
      <c r="H510" s="59">
        <f t="shared" si="1"/>
        <v>262162.16</v>
      </c>
      <c r="I510" s="39"/>
      <c r="J510" s="39"/>
      <c r="K510" s="60">
        <f t="shared" si="2"/>
        <v>0</v>
      </c>
      <c r="L510" s="39"/>
      <c r="M510" s="59">
        <f t="shared" si="3"/>
        <v>0</v>
      </c>
      <c r="N510" s="69">
        <v>2.0</v>
      </c>
      <c r="O510" s="62">
        <f t="shared" si="4"/>
        <v>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4">
        <v>503.0</v>
      </c>
      <c r="C511" s="56" t="s">
        <v>551</v>
      </c>
      <c r="D511" s="67">
        <v>378000.0</v>
      </c>
      <c r="E511" s="56">
        <v>3.0</v>
      </c>
      <c r="F511" s="59">
        <f t="shared" si="6"/>
        <v>1134000</v>
      </c>
      <c r="G511" s="56">
        <v>3.0</v>
      </c>
      <c r="H511" s="59">
        <f t="shared" si="1"/>
        <v>1134000</v>
      </c>
      <c r="I511" s="39"/>
      <c r="J511" s="39"/>
      <c r="K511" s="60">
        <f t="shared" si="2"/>
        <v>0</v>
      </c>
      <c r="L511" s="39"/>
      <c r="M511" s="59">
        <f t="shared" si="3"/>
        <v>0</v>
      </c>
      <c r="N511" s="69">
        <v>3.0</v>
      </c>
      <c r="O511" s="62">
        <f t="shared" si="4"/>
        <v>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4">
        <v>504.0</v>
      </c>
      <c r="C512" s="56" t="s">
        <v>552</v>
      </c>
      <c r="D512" s="67">
        <v>183000.0</v>
      </c>
      <c r="E512" s="56">
        <v>1.0</v>
      </c>
      <c r="F512" s="59">
        <f t="shared" si="6"/>
        <v>183000</v>
      </c>
      <c r="G512" s="56">
        <v>1.0</v>
      </c>
      <c r="H512" s="59">
        <f t="shared" si="1"/>
        <v>183000</v>
      </c>
      <c r="I512" s="39"/>
      <c r="J512" s="39"/>
      <c r="K512" s="60">
        <f t="shared" si="2"/>
        <v>0</v>
      </c>
      <c r="L512" s="39"/>
      <c r="M512" s="59">
        <f t="shared" si="3"/>
        <v>0</v>
      </c>
      <c r="N512" s="69">
        <v>1.0</v>
      </c>
      <c r="O512" s="62">
        <f t="shared" si="4"/>
        <v>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4">
        <v>505.0</v>
      </c>
      <c r="C513" s="56" t="s">
        <v>553</v>
      </c>
      <c r="D513" s="67">
        <v>162162.16</v>
      </c>
      <c r="E513" s="56">
        <v>2.0</v>
      </c>
      <c r="F513" s="59">
        <f t="shared" si="6"/>
        <v>324324.32</v>
      </c>
      <c r="G513" s="56">
        <v>2.0</v>
      </c>
      <c r="H513" s="59">
        <f t="shared" si="1"/>
        <v>324324.32</v>
      </c>
      <c r="I513" s="39"/>
      <c r="J513" s="39"/>
      <c r="K513" s="60">
        <f t="shared" si="2"/>
        <v>0</v>
      </c>
      <c r="L513" s="39"/>
      <c r="M513" s="59">
        <f t="shared" si="3"/>
        <v>0</v>
      </c>
      <c r="N513" s="69">
        <v>2.0</v>
      </c>
      <c r="O513" s="62">
        <f t="shared" si="4"/>
        <v>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4">
        <v>506.0</v>
      </c>
      <c r="C514" s="56" t="s">
        <v>554</v>
      </c>
      <c r="D514" s="67">
        <v>189189.19</v>
      </c>
      <c r="E514" s="56">
        <v>2.0</v>
      </c>
      <c r="F514" s="59">
        <f t="shared" si="6"/>
        <v>378378.38</v>
      </c>
      <c r="G514" s="56">
        <v>2.0</v>
      </c>
      <c r="H514" s="59">
        <f t="shared" si="1"/>
        <v>378378.38</v>
      </c>
      <c r="I514" s="39"/>
      <c r="J514" s="39"/>
      <c r="K514" s="60">
        <f t="shared" si="2"/>
        <v>0</v>
      </c>
      <c r="L514" s="39"/>
      <c r="M514" s="59">
        <f t="shared" si="3"/>
        <v>0</v>
      </c>
      <c r="N514" s="69">
        <v>2.0</v>
      </c>
      <c r="O514" s="62">
        <f t="shared" si="4"/>
        <v>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4">
        <v>507.0</v>
      </c>
      <c r="C515" s="56" t="s">
        <v>555</v>
      </c>
      <c r="D515" s="67">
        <v>420000.0</v>
      </c>
      <c r="E515" s="56">
        <v>3.0</v>
      </c>
      <c r="F515" s="59">
        <f t="shared" si="6"/>
        <v>1260000</v>
      </c>
      <c r="G515" s="56">
        <v>3.0</v>
      </c>
      <c r="H515" s="59">
        <f t="shared" si="1"/>
        <v>1260000</v>
      </c>
      <c r="I515" s="39"/>
      <c r="J515" s="39"/>
      <c r="K515" s="60">
        <f t="shared" si="2"/>
        <v>0</v>
      </c>
      <c r="L515" s="39"/>
      <c r="M515" s="59">
        <f t="shared" si="3"/>
        <v>0</v>
      </c>
      <c r="N515" s="69">
        <v>3.0</v>
      </c>
      <c r="O515" s="62">
        <f t="shared" si="4"/>
        <v>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4">
        <v>508.0</v>
      </c>
      <c r="C516" s="56" t="s">
        <v>556</v>
      </c>
      <c r="D516" s="67">
        <v>172072.07</v>
      </c>
      <c r="E516" s="56">
        <v>9.0</v>
      </c>
      <c r="F516" s="59">
        <f t="shared" si="6"/>
        <v>1548648.63</v>
      </c>
      <c r="G516" s="56">
        <v>9.0</v>
      </c>
      <c r="H516" s="59">
        <f t="shared" si="1"/>
        <v>1548648.63</v>
      </c>
      <c r="I516" s="39"/>
      <c r="J516" s="39"/>
      <c r="K516" s="60">
        <f t="shared" si="2"/>
        <v>0</v>
      </c>
      <c r="L516" s="39"/>
      <c r="M516" s="59">
        <f t="shared" si="3"/>
        <v>0</v>
      </c>
      <c r="N516" s="69">
        <v>9.0</v>
      </c>
      <c r="O516" s="62">
        <f t="shared" si="4"/>
        <v>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4">
        <v>509.0</v>
      </c>
      <c r="C517" s="56" t="s">
        <v>557</v>
      </c>
      <c r="D517" s="67">
        <v>158558.56</v>
      </c>
      <c r="E517" s="56">
        <v>1.0</v>
      </c>
      <c r="F517" s="59">
        <f t="shared" si="6"/>
        <v>158558.56</v>
      </c>
      <c r="G517" s="56">
        <v>1.0</v>
      </c>
      <c r="H517" s="59">
        <f t="shared" si="1"/>
        <v>158558.56</v>
      </c>
      <c r="I517" s="39"/>
      <c r="J517" s="39"/>
      <c r="K517" s="60">
        <f t="shared" si="2"/>
        <v>0</v>
      </c>
      <c r="L517" s="39"/>
      <c r="M517" s="59">
        <f t="shared" si="3"/>
        <v>0</v>
      </c>
      <c r="N517" s="69">
        <v>1.0</v>
      </c>
      <c r="O517" s="62">
        <f t="shared" si="4"/>
        <v>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4">
        <v>510.0</v>
      </c>
      <c r="C518" s="56" t="s">
        <v>558</v>
      </c>
      <c r="D518" s="67">
        <v>172072.07</v>
      </c>
      <c r="E518" s="56">
        <v>2.0</v>
      </c>
      <c r="F518" s="59">
        <f t="shared" si="6"/>
        <v>344144.14</v>
      </c>
      <c r="G518" s="56">
        <v>2.0</v>
      </c>
      <c r="H518" s="59">
        <f t="shared" si="1"/>
        <v>344144.14</v>
      </c>
      <c r="I518" s="39"/>
      <c r="J518" s="39"/>
      <c r="K518" s="60">
        <f t="shared" si="2"/>
        <v>0</v>
      </c>
      <c r="L518" s="39"/>
      <c r="M518" s="59">
        <f t="shared" si="3"/>
        <v>0</v>
      </c>
      <c r="N518" s="69">
        <v>2.0</v>
      </c>
      <c r="O518" s="62">
        <f t="shared" si="4"/>
        <v>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4">
        <v>511.0</v>
      </c>
      <c r="C519" s="56" t="s">
        <v>559</v>
      </c>
      <c r="D519" s="67">
        <v>172072.07</v>
      </c>
      <c r="E519" s="56">
        <v>1.0</v>
      </c>
      <c r="F519" s="59">
        <f t="shared" si="6"/>
        <v>172072.07</v>
      </c>
      <c r="G519" s="56">
        <v>1.0</v>
      </c>
      <c r="H519" s="59">
        <f t="shared" si="1"/>
        <v>172072.07</v>
      </c>
      <c r="I519" s="39"/>
      <c r="J519" s="39"/>
      <c r="K519" s="60">
        <f t="shared" si="2"/>
        <v>0</v>
      </c>
      <c r="L519" s="39"/>
      <c r="M519" s="59">
        <f t="shared" si="3"/>
        <v>0</v>
      </c>
      <c r="N519" s="69">
        <v>1.0</v>
      </c>
      <c r="O519" s="62">
        <f t="shared" si="4"/>
        <v>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4">
        <v>512.0</v>
      </c>
      <c r="C520" s="56" t="s">
        <v>560</v>
      </c>
      <c r="D520" s="67">
        <v>189189.19</v>
      </c>
      <c r="E520" s="56">
        <v>2.0</v>
      </c>
      <c r="F520" s="59">
        <f t="shared" si="6"/>
        <v>378378.38</v>
      </c>
      <c r="G520" s="56">
        <v>2.0</v>
      </c>
      <c r="H520" s="59">
        <f t="shared" si="1"/>
        <v>378378.38</v>
      </c>
      <c r="I520" s="39"/>
      <c r="J520" s="39"/>
      <c r="K520" s="60">
        <f t="shared" si="2"/>
        <v>0</v>
      </c>
      <c r="L520" s="39"/>
      <c r="M520" s="59">
        <f t="shared" si="3"/>
        <v>0</v>
      </c>
      <c r="N520" s="69">
        <v>2.0</v>
      </c>
      <c r="O520" s="62">
        <f t="shared" si="4"/>
        <v>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4">
        <v>513.0</v>
      </c>
      <c r="C521" s="56" t="s">
        <v>561</v>
      </c>
      <c r="D521" s="67">
        <v>290000.0</v>
      </c>
      <c r="E521" s="56">
        <v>3.0</v>
      </c>
      <c r="F521" s="59">
        <f t="shared" si="6"/>
        <v>870000</v>
      </c>
      <c r="G521" s="56">
        <v>3.0</v>
      </c>
      <c r="H521" s="59">
        <f t="shared" si="1"/>
        <v>870000</v>
      </c>
      <c r="I521" s="39"/>
      <c r="J521" s="39"/>
      <c r="K521" s="60">
        <f t="shared" si="2"/>
        <v>0</v>
      </c>
      <c r="L521" s="39"/>
      <c r="M521" s="59">
        <f t="shared" si="3"/>
        <v>0</v>
      </c>
      <c r="N521" s="69">
        <v>3.0</v>
      </c>
      <c r="O521" s="62">
        <f t="shared" si="4"/>
        <v>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4">
        <v>514.0</v>
      </c>
      <c r="C522" s="56" t="s">
        <v>562</v>
      </c>
      <c r="D522" s="67">
        <v>290000.0</v>
      </c>
      <c r="E522" s="56">
        <v>1.0</v>
      </c>
      <c r="F522" s="59">
        <f t="shared" si="6"/>
        <v>290000</v>
      </c>
      <c r="G522" s="56">
        <v>1.0</v>
      </c>
      <c r="H522" s="59">
        <f t="shared" si="1"/>
        <v>290000</v>
      </c>
      <c r="I522" s="39"/>
      <c r="J522" s="39"/>
      <c r="K522" s="60">
        <f t="shared" si="2"/>
        <v>0</v>
      </c>
      <c r="L522" s="39"/>
      <c r="M522" s="59">
        <f t="shared" si="3"/>
        <v>0</v>
      </c>
      <c r="N522" s="69">
        <v>1.0</v>
      </c>
      <c r="O522" s="62">
        <f t="shared" si="4"/>
        <v>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4">
        <v>515.0</v>
      </c>
      <c r="C523" s="56" t="s">
        <v>563</v>
      </c>
      <c r="D523" s="67">
        <v>210000.0</v>
      </c>
      <c r="E523" s="56">
        <v>2.0</v>
      </c>
      <c r="F523" s="59">
        <f t="shared" si="6"/>
        <v>420000</v>
      </c>
      <c r="G523" s="56">
        <v>2.0</v>
      </c>
      <c r="H523" s="59">
        <f t="shared" si="1"/>
        <v>420000</v>
      </c>
      <c r="I523" s="39"/>
      <c r="J523" s="39"/>
      <c r="K523" s="60">
        <f t="shared" si="2"/>
        <v>0</v>
      </c>
      <c r="L523" s="39"/>
      <c r="M523" s="59">
        <f t="shared" si="3"/>
        <v>0</v>
      </c>
      <c r="N523" s="69">
        <v>2.0</v>
      </c>
      <c r="O523" s="62">
        <f t="shared" si="4"/>
        <v>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4">
        <v>516.0</v>
      </c>
      <c r="C524" s="56" t="s">
        <v>564</v>
      </c>
      <c r="D524" s="67">
        <v>193693.69</v>
      </c>
      <c r="E524" s="56">
        <v>1.0</v>
      </c>
      <c r="F524" s="59">
        <f t="shared" si="6"/>
        <v>193693.69</v>
      </c>
      <c r="G524" s="56">
        <v>1.0</v>
      </c>
      <c r="H524" s="59">
        <f t="shared" si="1"/>
        <v>193693.69</v>
      </c>
      <c r="I524" s="39"/>
      <c r="J524" s="39"/>
      <c r="K524" s="60">
        <f t="shared" si="2"/>
        <v>0</v>
      </c>
      <c r="L524" s="39"/>
      <c r="M524" s="59">
        <f t="shared" si="3"/>
        <v>0</v>
      </c>
      <c r="N524" s="69">
        <v>1.0</v>
      </c>
      <c r="O524" s="62">
        <f t="shared" si="4"/>
        <v>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4">
        <v>517.0</v>
      </c>
      <c r="C525" s="56" t="s">
        <v>565</v>
      </c>
      <c r="D525" s="67">
        <v>220000.0</v>
      </c>
      <c r="E525" s="56">
        <v>1.0</v>
      </c>
      <c r="F525" s="59">
        <f t="shared" si="6"/>
        <v>220000</v>
      </c>
      <c r="G525" s="56">
        <v>1.0</v>
      </c>
      <c r="H525" s="59">
        <f t="shared" si="1"/>
        <v>220000</v>
      </c>
      <c r="I525" s="39"/>
      <c r="J525" s="39"/>
      <c r="K525" s="60">
        <f t="shared" si="2"/>
        <v>0</v>
      </c>
      <c r="L525" s="39"/>
      <c r="M525" s="59">
        <f t="shared" si="3"/>
        <v>0</v>
      </c>
      <c r="N525" s="69">
        <v>1.0</v>
      </c>
      <c r="O525" s="62">
        <f t="shared" si="4"/>
        <v>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4">
        <v>518.0</v>
      </c>
      <c r="C526" s="56" t="s">
        <v>566</v>
      </c>
      <c r="D526" s="67">
        <v>162162.16</v>
      </c>
      <c r="E526" s="56">
        <v>3.0</v>
      </c>
      <c r="F526" s="59">
        <f t="shared" si="6"/>
        <v>486486.48</v>
      </c>
      <c r="G526" s="56">
        <v>3.0</v>
      </c>
      <c r="H526" s="59">
        <f t="shared" si="1"/>
        <v>486486.48</v>
      </c>
      <c r="I526" s="39"/>
      <c r="J526" s="39"/>
      <c r="K526" s="60">
        <f t="shared" si="2"/>
        <v>0</v>
      </c>
      <c r="L526" s="39"/>
      <c r="M526" s="59">
        <f t="shared" si="3"/>
        <v>0</v>
      </c>
      <c r="N526" s="69">
        <v>3.0</v>
      </c>
      <c r="O526" s="62">
        <f t="shared" si="4"/>
        <v>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4">
        <v>519.0</v>
      </c>
      <c r="C527" s="56" t="s">
        <v>567</v>
      </c>
      <c r="D527" s="67">
        <v>162162.16</v>
      </c>
      <c r="E527" s="56">
        <v>1.0</v>
      </c>
      <c r="F527" s="59">
        <f t="shared" si="6"/>
        <v>162162.16</v>
      </c>
      <c r="G527" s="56">
        <v>1.0</v>
      </c>
      <c r="H527" s="59">
        <f t="shared" si="1"/>
        <v>162162.16</v>
      </c>
      <c r="I527" s="39"/>
      <c r="J527" s="39"/>
      <c r="K527" s="60">
        <f t="shared" si="2"/>
        <v>0</v>
      </c>
      <c r="L527" s="39"/>
      <c r="M527" s="59">
        <f t="shared" si="3"/>
        <v>0</v>
      </c>
      <c r="N527" s="69">
        <v>1.0</v>
      </c>
      <c r="O527" s="62">
        <f t="shared" si="4"/>
        <v>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4">
        <v>520.0</v>
      </c>
      <c r="C528" s="56" t="s">
        <v>568</v>
      </c>
      <c r="D528" s="67">
        <v>157657.66</v>
      </c>
      <c r="E528" s="56">
        <v>6.0</v>
      </c>
      <c r="F528" s="59">
        <f t="shared" si="6"/>
        <v>945945.96</v>
      </c>
      <c r="G528" s="56">
        <v>6.0</v>
      </c>
      <c r="H528" s="59">
        <f t="shared" si="1"/>
        <v>945945.96</v>
      </c>
      <c r="I528" s="39"/>
      <c r="J528" s="39"/>
      <c r="K528" s="60">
        <f t="shared" si="2"/>
        <v>0</v>
      </c>
      <c r="L528" s="39"/>
      <c r="M528" s="59">
        <f t="shared" si="3"/>
        <v>0</v>
      </c>
      <c r="N528" s="69">
        <v>6.0</v>
      </c>
      <c r="O528" s="62">
        <f t="shared" si="4"/>
        <v>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4">
        <v>521.0</v>
      </c>
      <c r="C529" s="56" t="s">
        <v>569</v>
      </c>
      <c r="D529" s="67">
        <v>220000.0</v>
      </c>
      <c r="E529" s="56">
        <v>3.0</v>
      </c>
      <c r="F529" s="59">
        <f t="shared" si="6"/>
        <v>660000</v>
      </c>
      <c r="G529" s="56">
        <v>3.0</v>
      </c>
      <c r="H529" s="59">
        <f t="shared" si="1"/>
        <v>660000</v>
      </c>
      <c r="I529" s="39"/>
      <c r="J529" s="39"/>
      <c r="K529" s="60">
        <f t="shared" si="2"/>
        <v>0</v>
      </c>
      <c r="L529" s="39"/>
      <c r="M529" s="59">
        <f t="shared" si="3"/>
        <v>0</v>
      </c>
      <c r="N529" s="69">
        <v>3.0</v>
      </c>
      <c r="O529" s="62">
        <f t="shared" si="4"/>
        <v>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4">
        <v>522.0</v>
      </c>
      <c r="C530" s="56" t="s">
        <v>570</v>
      </c>
      <c r="D530" s="67">
        <v>189189.19</v>
      </c>
      <c r="E530" s="56">
        <v>1.0</v>
      </c>
      <c r="F530" s="59">
        <f t="shared" si="6"/>
        <v>189189.19</v>
      </c>
      <c r="G530" s="56">
        <v>1.0</v>
      </c>
      <c r="H530" s="59">
        <f t="shared" si="1"/>
        <v>189189.19</v>
      </c>
      <c r="I530" s="39"/>
      <c r="J530" s="39"/>
      <c r="K530" s="60">
        <f t="shared" si="2"/>
        <v>0</v>
      </c>
      <c r="L530" s="39"/>
      <c r="M530" s="59">
        <f t="shared" si="3"/>
        <v>0</v>
      </c>
      <c r="N530" s="69">
        <v>1.0</v>
      </c>
      <c r="O530" s="62">
        <f t="shared" si="4"/>
        <v>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4">
        <v>523.0</v>
      </c>
      <c r="C531" s="56" t="s">
        <v>571</v>
      </c>
      <c r="D531" s="67">
        <v>172072.07</v>
      </c>
      <c r="E531" s="56">
        <v>1.0</v>
      </c>
      <c r="F531" s="59">
        <f t="shared" si="6"/>
        <v>172072.07</v>
      </c>
      <c r="G531" s="56">
        <v>1.0</v>
      </c>
      <c r="H531" s="59">
        <f t="shared" si="1"/>
        <v>172072.07</v>
      </c>
      <c r="I531" s="39"/>
      <c r="J531" s="39"/>
      <c r="K531" s="60">
        <f t="shared" si="2"/>
        <v>0</v>
      </c>
      <c r="L531" s="39"/>
      <c r="M531" s="59">
        <f t="shared" si="3"/>
        <v>0</v>
      </c>
      <c r="N531" s="69">
        <v>1.0</v>
      </c>
      <c r="O531" s="62">
        <f t="shared" si="4"/>
        <v>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4">
        <v>524.0</v>
      </c>
      <c r="C532" s="56" t="s">
        <v>572</v>
      </c>
      <c r="D532" s="67">
        <v>313470.0</v>
      </c>
      <c r="E532" s="56">
        <v>3.0</v>
      </c>
      <c r="F532" s="59">
        <f t="shared" si="6"/>
        <v>940410</v>
      </c>
      <c r="G532" s="56">
        <v>3.0</v>
      </c>
      <c r="H532" s="59">
        <f t="shared" si="1"/>
        <v>940410</v>
      </c>
      <c r="I532" s="39"/>
      <c r="J532" s="39"/>
      <c r="K532" s="60">
        <f t="shared" si="2"/>
        <v>0</v>
      </c>
      <c r="L532" s="39"/>
      <c r="M532" s="59">
        <f t="shared" si="3"/>
        <v>0</v>
      </c>
      <c r="N532" s="69">
        <v>3.0</v>
      </c>
      <c r="O532" s="62">
        <f t="shared" si="4"/>
        <v>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4">
        <v>525.0</v>
      </c>
      <c r="C533" s="56" t="s">
        <v>573</v>
      </c>
      <c r="D533" s="67">
        <v>100000.0</v>
      </c>
      <c r="E533" s="56">
        <v>4.0</v>
      </c>
      <c r="F533" s="59">
        <f t="shared" si="6"/>
        <v>400000</v>
      </c>
      <c r="G533" s="56">
        <v>4.0</v>
      </c>
      <c r="H533" s="59">
        <f t="shared" si="1"/>
        <v>400000</v>
      </c>
      <c r="I533" s="39"/>
      <c r="J533" s="39"/>
      <c r="K533" s="60">
        <f t="shared" si="2"/>
        <v>0</v>
      </c>
      <c r="L533" s="39"/>
      <c r="M533" s="59">
        <f t="shared" si="3"/>
        <v>0</v>
      </c>
      <c r="N533" s="69">
        <v>4.0</v>
      </c>
      <c r="O533" s="62">
        <f t="shared" si="4"/>
        <v>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4">
        <v>526.0</v>
      </c>
      <c r="C534" s="56" t="s">
        <v>574</v>
      </c>
      <c r="D534" s="67">
        <v>117117.12</v>
      </c>
      <c r="E534" s="56">
        <v>52.0</v>
      </c>
      <c r="F534" s="59">
        <f t="shared" si="6"/>
        <v>6090090.24</v>
      </c>
      <c r="G534" s="56">
        <v>52.0</v>
      </c>
      <c r="H534" s="59">
        <f t="shared" si="1"/>
        <v>6090090.24</v>
      </c>
      <c r="I534" s="39"/>
      <c r="J534" s="39"/>
      <c r="K534" s="60">
        <f t="shared" si="2"/>
        <v>0</v>
      </c>
      <c r="L534" s="39"/>
      <c r="M534" s="59">
        <f t="shared" si="3"/>
        <v>0</v>
      </c>
      <c r="N534" s="69">
        <v>52.0</v>
      </c>
      <c r="O534" s="62">
        <f t="shared" si="4"/>
        <v>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4">
        <v>527.0</v>
      </c>
      <c r="C535" s="56" t="s">
        <v>575</v>
      </c>
      <c r="D535" s="67">
        <v>131081.08</v>
      </c>
      <c r="E535" s="56">
        <v>2.0</v>
      </c>
      <c r="F535" s="59">
        <f t="shared" si="6"/>
        <v>262162.16</v>
      </c>
      <c r="G535" s="56">
        <v>2.0</v>
      </c>
      <c r="H535" s="59">
        <f t="shared" si="1"/>
        <v>262162.16</v>
      </c>
      <c r="I535" s="39"/>
      <c r="J535" s="39"/>
      <c r="K535" s="60">
        <f t="shared" si="2"/>
        <v>0</v>
      </c>
      <c r="L535" s="39"/>
      <c r="M535" s="59">
        <f t="shared" si="3"/>
        <v>0</v>
      </c>
      <c r="N535" s="69">
        <v>2.0</v>
      </c>
      <c r="O535" s="62">
        <f t="shared" si="4"/>
        <v>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4">
        <v>528.0</v>
      </c>
      <c r="C536" s="56" t="s">
        <v>576</v>
      </c>
      <c r="D536" s="67">
        <v>131081.08</v>
      </c>
      <c r="E536" s="56">
        <v>2.0</v>
      </c>
      <c r="F536" s="59">
        <f t="shared" si="6"/>
        <v>262162.16</v>
      </c>
      <c r="G536" s="56">
        <v>2.0</v>
      </c>
      <c r="H536" s="59">
        <f t="shared" si="1"/>
        <v>262162.16</v>
      </c>
      <c r="I536" s="39"/>
      <c r="J536" s="39"/>
      <c r="K536" s="60">
        <f t="shared" si="2"/>
        <v>0</v>
      </c>
      <c r="L536" s="39"/>
      <c r="M536" s="59">
        <f t="shared" si="3"/>
        <v>0</v>
      </c>
      <c r="N536" s="69">
        <v>2.0</v>
      </c>
      <c r="O536" s="62">
        <f t="shared" si="4"/>
        <v>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4">
        <v>529.0</v>
      </c>
      <c r="C537" s="56" t="s">
        <v>577</v>
      </c>
      <c r="D537" s="67">
        <v>110000.0</v>
      </c>
      <c r="E537" s="56">
        <v>1.0</v>
      </c>
      <c r="F537" s="59">
        <f t="shared" si="6"/>
        <v>110000</v>
      </c>
      <c r="G537" s="56">
        <v>1.0</v>
      </c>
      <c r="H537" s="59">
        <f t="shared" si="1"/>
        <v>110000</v>
      </c>
      <c r="I537" s="39"/>
      <c r="J537" s="39"/>
      <c r="K537" s="60">
        <f t="shared" si="2"/>
        <v>0</v>
      </c>
      <c r="L537" s="39"/>
      <c r="M537" s="59">
        <f t="shared" si="3"/>
        <v>0</v>
      </c>
      <c r="N537" s="69">
        <v>1.0</v>
      </c>
      <c r="O537" s="62">
        <f t="shared" si="4"/>
        <v>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4">
        <v>530.0</v>
      </c>
      <c r="C538" s="56" t="s">
        <v>578</v>
      </c>
      <c r="D538" s="67">
        <v>329000.0</v>
      </c>
      <c r="E538" s="56">
        <v>1.0</v>
      </c>
      <c r="F538" s="59">
        <f t="shared" si="6"/>
        <v>329000</v>
      </c>
      <c r="G538" s="56">
        <v>1.0</v>
      </c>
      <c r="H538" s="59">
        <f t="shared" si="1"/>
        <v>329000</v>
      </c>
      <c r="I538" s="39"/>
      <c r="J538" s="39"/>
      <c r="K538" s="60">
        <f t="shared" si="2"/>
        <v>0</v>
      </c>
      <c r="L538" s="39"/>
      <c r="M538" s="59">
        <f t="shared" si="3"/>
        <v>0</v>
      </c>
      <c r="N538" s="69">
        <v>1.0</v>
      </c>
      <c r="O538" s="62">
        <f t="shared" si="4"/>
        <v>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4">
        <v>531.0</v>
      </c>
      <c r="C539" s="56" t="s">
        <v>579</v>
      </c>
      <c r="D539" s="67">
        <v>220000.0</v>
      </c>
      <c r="E539" s="56">
        <v>1.0</v>
      </c>
      <c r="F539" s="59">
        <f t="shared" si="6"/>
        <v>220000</v>
      </c>
      <c r="G539" s="56">
        <v>1.0</v>
      </c>
      <c r="H539" s="59">
        <f t="shared" si="1"/>
        <v>220000</v>
      </c>
      <c r="I539" s="39"/>
      <c r="J539" s="39"/>
      <c r="K539" s="60">
        <f t="shared" si="2"/>
        <v>0</v>
      </c>
      <c r="L539" s="39"/>
      <c r="M539" s="59">
        <f t="shared" si="3"/>
        <v>0</v>
      </c>
      <c r="N539" s="69">
        <v>1.0</v>
      </c>
      <c r="O539" s="62">
        <f t="shared" si="4"/>
        <v>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4">
        <v>532.0</v>
      </c>
      <c r="C540" s="56" t="s">
        <v>580</v>
      </c>
      <c r="D540" s="67">
        <v>855000.0</v>
      </c>
      <c r="E540" s="56">
        <v>1.0</v>
      </c>
      <c r="F540" s="59">
        <f t="shared" si="6"/>
        <v>855000</v>
      </c>
      <c r="G540" s="56">
        <v>1.0</v>
      </c>
      <c r="H540" s="59">
        <f t="shared" si="1"/>
        <v>855000</v>
      </c>
      <c r="I540" s="39"/>
      <c r="J540" s="39"/>
      <c r="K540" s="60">
        <f t="shared" si="2"/>
        <v>0</v>
      </c>
      <c r="L540" s="39"/>
      <c r="M540" s="59">
        <f t="shared" si="3"/>
        <v>0</v>
      </c>
      <c r="N540" s="69">
        <v>1.0</v>
      </c>
      <c r="O540" s="62">
        <f t="shared" si="4"/>
        <v>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4">
        <v>533.0</v>
      </c>
      <c r="C541" s="56" t="s">
        <v>581</v>
      </c>
      <c r="D541" s="67">
        <v>189189.19</v>
      </c>
      <c r="E541" s="56">
        <v>8.0</v>
      </c>
      <c r="F541" s="59">
        <f t="shared" si="6"/>
        <v>1513513.52</v>
      </c>
      <c r="G541" s="56">
        <v>8.0</v>
      </c>
      <c r="H541" s="59">
        <f t="shared" si="1"/>
        <v>1513513.52</v>
      </c>
      <c r="I541" s="39"/>
      <c r="J541" s="39"/>
      <c r="K541" s="60">
        <f t="shared" si="2"/>
        <v>0</v>
      </c>
      <c r="L541" s="39"/>
      <c r="M541" s="59">
        <f t="shared" si="3"/>
        <v>0</v>
      </c>
      <c r="N541" s="69">
        <v>8.0</v>
      </c>
      <c r="O541" s="62">
        <f t="shared" si="4"/>
        <v>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4">
        <v>534.0</v>
      </c>
      <c r="C542" s="56" t="s">
        <v>582</v>
      </c>
      <c r="D542" s="67">
        <v>1700.0</v>
      </c>
      <c r="E542" s="56">
        <v>14.0</v>
      </c>
      <c r="F542" s="59">
        <f t="shared" si="6"/>
        <v>23800</v>
      </c>
      <c r="G542" s="56">
        <v>14.0</v>
      </c>
      <c r="H542" s="59">
        <f t="shared" si="1"/>
        <v>23800</v>
      </c>
      <c r="I542" s="39"/>
      <c r="J542" s="39"/>
      <c r="K542" s="60">
        <f t="shared" si="2"/>
        <v>0</v>
      </c>
      <c r="L542" s="39"/>
      <c r="M542" s="59">
        <f t="shared" si="3"/>
        <v>0</v>
      </c>
      <c r="N542" s="69">
        <v>14.0</v>
      </c>
      <c r="O542" s="62">
        <f t="shared" si="4"/>
        <v>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4">
        <v>535.0</v>
      </c>
      <c r="C543" s="56" t="s">
        <v>583</v>
      </c>
      <c r="D543" s="67">
        <v>1500.0</v>
      </c>
      <c r="E543" s="56">
        <v>1.0</v>
      </c>
      <c r="F543" s="59">
        <f t="shared" si="6"/>
        <v>1500</v>
      </c>
      <c r="G543" s="56">
        <v>1.0</v>
      </c>
      <c r="H543" s="59">
        <f t="shared" si="1"/>
        <v>1500</v>
      </c>
      <c r="I543" s="39"/>
      <c r="J543" s="39"/>
      <c r="K543" s="60">
        <f t="shared" si="2"/>
        <v>0</v>
      </c>
      <c r="L543" s="39"/>
      <c r="M543" s="59">
        <f t="shared" si="3"/>
        <v>0</v>
      </c>
      <c r="N543" s="69">
        <v>1.0</v>
      </c>
      <c r="O543" s="62">
        <f t="shared" si="4"/>
        <v>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4">
        <v>536.0</v>
      </c>
      <c r="C544" s="56" t="s">
        <v>584</v>
      </c>
      <c r="D544" s="67">
        <v>500000.0</v>
      </c>
      <c r="E544" s="56">
        <v>1.0</v>
      </c>
      <c r="F544" s="59">
        <f t="shared" si="6"/>
        <v>500000</v>
      </c>
      <c r="G544" s="56">
        <v>1.0</v>
      </c>
      <c r="H544" s="59">
        <f t="shared" si="1"/>
        <v>500000</v>
      </c>
      <c r="I544" s="39"/>
      <c r="J544" s="39"/>
      <c r="K544" s="60">
        <f t="shared" si="2"/>
        <v>0</v>
      </c>
      <c r="L544" s="39"/>
      <c r="M544" s="59">
        <f t="shared" si="3"/>
        <v>0</v>
      </c>
      <c r="N544" s="69">
        <v>1.0</v>
      </c>
      <c r="O544" s="62">
        <f t="shared" si="4"/>
        <v>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4">
        <v>537.0</v>
      </c>
      <c r="C545" s="56" t="s">
        <v>585</v>
      </c>
      <c r="D545" s="67">
        <v>15500.0</v>
      </c>
      <c r="E545" s="56">
        <v>8.0</v>
      </c>
      <c r="F545" s="59">
        <f t="shared" si="6"/>
        <v>124000</v>
      </c>
      <c r="G545" s="56">
        <v>8.0</v>
      </c>
      <c r="H545" s="59">
        <f t="shared" si="1"/>
        <v>124000</v>
      </c>
      <c r="I545" s="39"/>
      <c r="J545" s="39"/>
      <c r="K545" s="60">
        <f t="shared" si="2"/>
        <v>0</v>
      </c>
      <c r="L545" s="39"/>
      <c r="M545" s="59">
        <f t="shared" si="3"/>
        <v>0</v>
      </c>
      <c r="N545" s="69">
        <v>8.0</v>
      </c>
      <c r="O545" s="62">
        <f t="shared" si="4"/>
        <v>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4">
        <v>538.0</v>
      </c>
      <c r="C546" s="56" t="s">
        <v>586</v>
      </c>
      <c r="D546" s="67">
        <v>19000.0</v>
      </c>
      <c r="E546" s="56">
        <v>0.0</v>
      </c>
      <c r="F546" s="59">
        <f t="shared" si="6"/>
        <v>0</v>
      </c>
      <c r="G546" s="56">
        <v>0.0</v>
      </c>
      <c r="H546" s="59">
        <f t="shared" si="1"/>
        <v>0</v>
      </c>
      <c r="I546" s="39"/>
      <c r="J546" s="39"/>
      <c r="K546" s="60">
        <f t="shared" si="2"/>
        <v>0</v>
      </c>
      <c r="L546" s="39"/>
      <c r="M546" s="59">
        <f t="shared" si="3"/>
        <v>0</v>
      </c>
      <c r="N546" s="69">
        <v>0.0</v>
      </c>
      <c r="O546" s="62">
        <f t="shared" si="4"/>
        <v>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4">
        <v>539.0</v>
      </c>
      <c r="C547" s="56" t="s">
        <v>587</v>
      </c>
      <c r="D547" s="67">
        <v>25000.0</v>
      </c>
      <c r="E547" s="56">
        <v>1.0</v>
      </c>
      <c r="F547" s="59">
        <f t="shared" si="6"/>
        <v>25000</v>
      </c>
      <c r="G547" s="56">
        <v>21.0</v>
      </c>
      <c r="H547" s="59">
        <f t="shared" si="1"/>
        <v>525000</v>
      </c>
      <c r="I547" s="39"/>
      <c r="J547" s="39"/>
      <c r="K547" s="60">
        <f t="shared" si="2"/>
        <v>0</v>
      </c>
      <c r="L547" s="56">
        <v>20.0</v>
      </c>
      <c r="M547" s="59">
        <f t="shared" si="3"/>
        <v>500000</v>
      </c>
      <c r="N547" s="69">
        <v>21.0</v>
      </c>
      <c r="O547" s="62">
        <f t="shared" si="4"/>
        <v>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4">
        <v>540.0</v>
      </c>
      <c r="C548" s="56" t="s">
        <v>588</v>
      </c>
      <c r="D548" s="67">
        <v>17500.0</v>
      </c>
      <c r="E548" s="56">
        <v>2.0</v>
      </c>
      <c r="F548" s="59">
        <f t="shared" si="6"/>
        <v>35000</v>
      </c>
      <c r="G548" s="56">
        <v>2.0</v>
      </c>
      <c r="H548" s="59">
        <f t="shared" si="1"/>
        <v>35000</v>
      </c>
      <c r="I548" s="39"/>
      <c r="J548" s="39"/>
      <c r="K548" s="60">
        <f t="shared" si="2"/>
        <v>0</v>
      </c>
      <c r="L548" s="39"/>
      <c r="M548" s="59">
        <f t="shared" si="3"/>
        <v>0</v>
      </c>
      <c r="N548" s="69">
        <v>2.0</v>
      </c>
      <c r="O548" s="62">
        <f t="shared" si="4"/>
        <v>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4">
        <v>541.0</v>
      </c>
      <c r="C549" s="56" t="s">
        <v>589</v>
      </c>
      <c r="D549" s="67">
        <v>550.0</v>
      </c>
      <c r="E549" s="56">
        <v>206.0</v>
      </c>
      <c r="F549" s="59">
        <f t="shared" si="6"/>
        <v>113300</v>
      </c>
      <c r="G549" s="56">
        <v>206.0</v>
      </c>
      <c r="H549" s="59">
        <f t="shared" si="1"/>
        <v>113300</v>
      </c>
      <c r="I549" s="39"/>
      <c r="J549" s="39"/>
      <c r="K549" s="60">
        <f t="shared" si="2"/>
        <v>0</v>
      </c>
      <c r="L549" s="39"/>
      <c r="M549" s="59">
        <f t="shared" si="3"/>
        <v>0</v>
      </c>
      <c r="N549" s="69">
        <v>206.0</v>
      </c>
      <c r="O549" s="62">
        <f t="shared" si="4"/>
        <v>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4">
        <v>542.0</v>
      </c>
      <c r="C550" s="56" t="s">
        <v>590</v>
      </c>
      <c r="D550" s="67">
        <v>10300.0</v>
      </c>
      <c r="E550" s="56">
        <v>42.0</v>
      </c>
      <c r="F550" s="59">
        <f t="shared" si="6"/>
        <v>432600</v>
      </c>
      <c r="G550" s="56">
        <v>0.0</v>
      </c>
      <c r="H550" s="59">
        <f t="shared" si="1"/>
        <v>0</v>
      </c>
      <c r="I550" s="39"/>
      <c r="J550" s="56">
        <v>42.0</v>
      </c>
      <c r="K550" s="60">
        <f t="shared" si="2"/>
        <v>432600</v>
      </c>
      <c r="L550" s="39"/>
      <c r="M550" s="59">
        <f t="shared" si="3"/>
        <v>0</v>
      </c>
      <c r="N550" s="69">
        <v>0.0</v>
      </c>
      <c r="O550" s="62">
        <f t="shared" si="4"/>
        <v>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4">
        <v>543.0</v>
      </c>
      <c r="C551" s="56" t="s">
        <v>591</v>
      </c>
      <c r="D551" s="67">
        <v>4000.0</v>
      </c>
      <c r="E551" s="56">
        <v>11.0</v>
      </c>
      <c r="F551" s="59">
        <f t="shared" si="6"/>
        <v>44000</v>
      </c>
      <c r="G551" s="56">
        <v>11.0</v>
      </c>
      <c r="H551" s="59">
        <f t="shared" si="1"/>
        <v>44000</v>
      </c>
      <c r="I551" s="39"/>
      <c r="J551" s="39"/>
      <c r="K551" s="60">
        <f t="shared" si="2"/>
        <v>0</v>
      </c>
      <c r="L551" s="39"/>
      <c r="M551" s="59">
        <f t="shared" si="3"/>
        <v>0</v>
      </c>
      <c r="N551" s="69">
        <v>11.0</v>
      </c>
      <c r="O551" s="62">
        <f t="shared" si="4"/>
        <v>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4">
        <v>544.0</v>
      </c>
      <c r="C552" s="56" t="s">
        <v>592</v>
      </c>
      <c r="D552" s="67">
        <v>9459.46</v>
      </c>
      <c r="E552" s="56">
        <v>36.0</v>
      </c>
      <c r="F552" s="59">
        <f t="shared" si="6"/>
        <v>340540.56</v>
      </c>
      <c r="G552" s="56">
        <v>36.0</v>
      </c>
      <c r="H552" s="59">
        <f t="shared" si="1"/>
        <v>340540.56</v>
      </c>
      <c r="I552" s="39"/>
      <c r="J552" s="39"/>
      <c r="K552" s="60">
        <f t="shared" si="2"/>
        <v>0</v>
      </c>
      <c r="L552" s="39"/>
      <c r="M552" s="59">
        <f t="shared" si="3"/>
        <v>0</v>
      </c>
      <c r="N552" s="69">
        <v>36.0</v>
      </c>
      <c r="O552" s="62">
        <f t="shared" si="4"/>
        <v>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4">
        <v>545.0</v>
      </c>
      <c r="C553" s="56" t="s">
        <v>593</v>
      </c>
      <c r="D553" s="67">
        <v>6000.0</v>
      </c>
      <c r="E553" s="56">
        <v>14.0</v>
      </c>
      <c r="F553" s="59">
        <f t="shared" si="6"/>
        <v>84000</v>
      </c>
      <c r="G553" s="56">
        <v>14.0</v>
      </c>
      <c r="H553" s="59">
        <f t="shared" si="1"/>
        <v>84000</v>
      </c>
      <c r="I553" s="39"/>
      <c r="J553" s="39"/>
      <c r="K553" s="60">
        <f t="shared" si="2"/>
        <v>0</v>
      </c>
      <c r="L553" s="39"/>
      <c r="M553" s="59">
        <f t="shared" si="3"/>
        <v>0</v>
      </c>
      <c r="N553" s="69">
        <v>14.0</v>
      </c>
      <c r="O553" s="62">
        <f t="shared" si="4"/>
        <v>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4">
        <v>546.0</v>
      </c>
      <c r="C554" s="56" t="s">
        <v>594</v>
      </c>
      <c r="D554" s="67">
        <v>32900.0</v>
      </c>
      <c r="E554" s="56">
        <v>102.0</v>
      </c>
      <c r="F554" s="59">
        <f t="shared" si="6"/>
        <v>3355800</v>
      </c>
      <c r="G554" s="56">
        <v>107.0</v>
      </c>
      <c r="H554" s="59">
        <f t="shared" si="1"/>
        <v>3520300</v>
      </c>
      <c r="I554" s="39"/>
      <c r="J554" s="39"/>
      <c r="K554" s="60">
        <f t="shared" si="2"/>
        <v>0</v>
      </c>
      <c r="L554" s="56">
        <v>5.0</v>
      </c>
      <c r="M554" s="59">
        <f t="shared" si="3"/>
        <v>164500</v>
      </c>
      <c r="N554" s="69">
        <v>107.0</v>
      </c>
      <c r="O554" s="62">
        <f t="shared" si="4"/>
        <v>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4">
        <v>547.0</v>
      </c>
      <c r="C555" s="56" t="s">
        <v>595</v>
      </c>
      <c r="D555" s="67">
        <v>7500.0</v>
      </c>
      <c r="E555" s="56">
        <v>16.0</v>
      </c>
      <c r="F555" s="59">
        <f t="shared" si="6"/>
        <v>120000</v>
      </c>
      <c r="G555" s="56">
        <v>16.0</v>
      </c>
      <c r="H555" s="59">
        <f t="shared" si="1"/>
        <v>120000</v>
      </c>
      <c r="I555" s="39"/>
      <c r="J555" s="39"/>
      <c r="K555" s="60">
        <f t="shared" si="2"/>
        <v>0</v>
      </c>
      <c r="L555" s="39"/>
      <c r="M555" s="59">
        <f t="shared" si="3"/>
        <v>0</v>
      </c>
      <c r="N555" s="69">
        <v>16.0</v>
      </c>
      <c r="O555" s="62">
        <f t="shared" si="4"/>
        <v>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4">
        <v>548.0</v>
      </c>
      <c r="C556" s="56" t="s">
        <v>596</v>
      </c>
      <c r="D556" s="67">
        <v>4750.0</v>
      </c>
      <c r="E556" s="56">
        <v>28.0</v>
      </c>
      <c r="F556" s="59">
        <f t="shared" si="6"/>
        <v>133000</v>
      </c>
      <c r="G556" s="56">
        <v>24.0</v>
      </c>
      <c r="H556" s="59">
        <f t="shared" si="1"/>
        <v>114000</v>
      </c>
      <c r="I556" s="39"/>
      <c r="J556" s="56">
        <v>4.0</v>
      </c>
      <c r="K556" s="60">
        <f t="shared" si="2"/>
        <v>19000</v>
      </c>
      <c r="L556" s="39"/>
      <c r="M556" s="59">
        <f t="shared" si="3"/>
        <v>0</v>
      </c>
      <c r="N556" s="69">
        <v>24.0</v>
      </c>
      <c r="O556" s="62">
        <f t="shared" si="4"/>
        <v>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4">
        <v>549.0</v>
      </c>
      <c r="C557" s="56" t="s">
        <v>597</v>
      </c>
      <c r="D557" s="67">
        <v>25000.0</v>
      </c>
      <c r="E557" s="56">
        <v>40.0</v>
      </c>
      <c r="F557" s="59">
        <f t="shared" si="6"/>
        <v>1000000</v>
      </c>
      <c r="G557" s="56">
        <v>40.0</v>
      </c>
      <c r="H557" s="59">
        <f t="shared" si="1"/>
        <v>1000000</v>
      </c>
      <c r="I557" s="39"/>
      <c r="J557" s="39"/>
      <c r="K557" s="60">
        <f t="shared" si="2"/>
        <v>0</v>
      </c>
      <c r="L557" s="39"/>
      <c r="M557" s="59">
        <f t="shared" si="3"/>
        <v>0</v>
      </c>
      <c r="N557" s="69">
        <v>40.0</v>
      </c>
      <c r="O557" s="62">
        <f t="shared" si="4"/>
        <v>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4">
        <v>550.0</v>
      </c>
      <c r="C558" s="56" t="s">
        <v>598</v>
      </c>
      <c r="D558" s="67">
        <v>7500.0</v>
      </c>
      <c r="E558" s="56">
        <v>3.0</v>
      </c>
      <c r="F558" s="59">
        <f t="shared" si="6"/>
        <v>22500</v>
      </c>
      <c r="G558" s="56">
        <v>3.0</v>
      </c>
      <c r="H558" s="59">
        <f t="shared" si="1"/>
        <v>22500</v>
      </c>
      <c r="I558" s="39"/>
      <c r="J558" s="39"/>
      <c r="K558" s="60">
        <f t="shared" si="2"/>
        <v>0</v>
      </c>
      <c r="L558" s="39"/>
      <c r="M558" s="59">
        <f t="shared" si="3"/>
        <v>0</v>
      </c>
      <c r="N558" s="69">
        <v>3.0</v>
      </c>
      <c r="O558" s="62">
        <f t="shared" si="4"/>
        <v>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4">
        <v>551.0</v>
      </c>
      <c r="C559" s="56" t="s">
        <v>599</v>
      </c>
      <c r="D559" s="67">
        <v>6500.0</v>
      </c>
      <c r="E559" s="56">
        <v>66.0</v>
      </c>
      <c r="F559" s="59">
        <f t="shared" si="6"/>
        <v>429000</v>
      </c>
      <c r="G559" s="56">
        <v>66.0</v>
      </c>
      <c r="H559" s="59">
        <f t="shared" si="1"/>
        <v>429000</v>
      </c>
      <c r="I559" s="39"/>
      <c r="J559" s="39"/>
      <c r="K559" s="60">
        <f t="shared" si="2"/>
        <v>0</v>
      </c>
      <c r="L559" s="39"/>
      <c r="M559" s="59">
        <f t="shared" si="3"/>
        <v>0</v>
      </c>
      <c r="N559" s="69">
        <v>66.0</v>
      </c>
      <c r="O559" s="62">
        <f t="shared" si="4"/>
        <v>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4">
        <v>552.0</v>
      </c>
      <c r="C560" s="56" t="s">
        <v>600</v>
      </c>
      <c r="D560" s="67">
        <v>10000.0</v>
      </c>
      <c r="E560" s="56">
        <v>1.0</v>
      </c>
      <c r="F560" s="59">
        <f t="shared" si="6"/>
        <v>10000</v>
      </c>
      <c r="G560" s="56">
        <v>1.0</v>
      </c>
      <c r="H560" s="59">
        <f t="shared" si="1"/>
        <v>10000</v>
      </c>
      <c r="I560" s="39"/>
      <c r="J560" s="39"/>
      <c r="K560" s="60">
        <f t="shared" si="2"/>
        <v>0</v>
      </c>
      <c r="L560" s="39"/>
      <c r="M560" s="59">
        <f t="shared" si="3"/>
        <v>0</v>
      </c>
      <c r="N560" s="69">
        <v>1.0</v>
      </c>
      <c r="O560" s="62">
        <f t="shared" si="4"/>
        <v>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4">
        <v>553.0</v>
      </c>
      <c r="C561" s="56" t="s">
        <v>601</v>
      </c>
      <c r="D561" s="67">
        <v>7000.0</v>
      </c>
      <c r="E561" s="56">
        <v>30.0</v>
      </c>
      <c r="F561" s="59">
        <f t="shared" si="6"/>
        <v>210000</v>
      </c>
      <c r="G561" s="56">
        <v>30.0</v>
      </c>
      <c r="H561" s="59">
        <f t="shared" si="1"/>
        <v>210000</v>
      </c>
      <c r="I561" s="39"/>
      <c r="J561" s="39"/>
      <c r="K561" s="60">
        <f t="shared" si="2"/>
        <v>0</v>
      </c>
      <c r="L561" s="39"/>
      <c r="M561" s="59">
        <f t="shared" si="3"/>
        <v>0</v>
      </c>
      <c r="N561" s="69">
        <v>30.0</v>
      </c>
      <c r="O561" s="62">
        <f t="shared" si="4"/>
        <v>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4">
        <v>554.0</v>
      </c>
      <c r="C562" s="56" t="s">
        <v>602</v>
      </c>
      <c r="D562" s="67">
        <v>15000.0</v>
      </c>
      <c r="E562" s="56">
        <v>0.0</v>
      </c>
      <c r="F562" s="59">
        <f t="shared" si="6"/>
        <v>0</v>
      </c>
      <c r="G562" s="56">
        <v>0.0</v>
      </c>
      <c r="H562" s="59">
        <f t="shared" si="1"/>
        <v>0</v>
      </c>
      <c r="I562" s="39"/>
      <c r="J562" s="39"/>
      <c r="K562" s="60">
        <f t="shared" si="2"/>
        <v>0</v>
      </c>
      <c r="L562" s="39"/>
      <c r="M562" s="59">
        <f t="shared" si="3"/>
        <v>0</v>
      </c>
      <c r="N562" s="69">
        <v>0.0</v>
      </c>
      <c r="O562" s="62">
        <f t="shared" si="4"/>
        <v>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4">
        <v>555.0</v>
      </c>
      <c r="C563" s="56" t="s">
        <v>603</v>
      </c>
      <c r="D563" s="67">
        <v>13513.51</v>
      </c>
      <c r="E563" s="56">
        <v>1.0</v>
      </c>
      <c r="F563" s="59">
        <f t="shared" si="6"/>
        <v>13513.51</v>
      </c>
      <c r="G563" s="56">
        <v>1.0</v>
      </c>
      <c r="H563" s="59">
        <f t="shared" si="1"/>
        <v>13513.51</v>
      </c>
      <c r="I563" s="39"/>
      <c r="J563" s="39"/>
      <c r="K563" s="60">
        <f t="shared" si="2"/>
        <v>0</v>
      </c>
      <c r="L563" s="39"/>
      <c r="M563" s="59">
        <f t="shared" si="3"/>
        <v>0</v>
      </c>
      <c r="N563" s="69">
        <v>1.0</v>
      </c>
      <c r="O563" s="62">
        <f t="shared" si="4"/>
        <v>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4">
        <v>556.0</v>
      </c>
      <c r="C564" s="56" t="s">
        <v>604</v>
      </c>
      <c r="D564" s="67">
        <v>30000.0</v>
      </c>
      <c r="E564" s="56">
        <v>1.0</v>
      </c>
      <c r="F564" s="59">
        <f t="shared" si="6"/>
        <v>30000</v>
      </c>
      <c r="G564" s="56">
        <v>1.0</v>
      </c>
      <c r="H564" s="59">
        <f t="shared" si="1"/>
        <v>30000</v>
      </c>
      <c r="I564" s="39"/>
      <c r="J564" s="39"/>
      <c r="K564" s="60">
        <f t="shared" si="2"/>
        <v>0</v>
      </c>
      <c r="L564" s="39"/>
      <c r="M564" s="59">
        <f t="shared" si="3"/>
        <v>0</v>
      </c>
      <c r="N564" s="69">
        <v>1.0</v>
      </c>
      <c r="O564" s="62">
        <f t="shared" si="4"/>
        <v>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4">
        <v>557.0</v>
      </c>
      <c r="C565" s="56" t="s">
        <v>605</v>
      </c>
      <c r="D565" s="67">
        <v>50000.0</v>
      </c>
      <c r="E565" s="56">
        <v>5.0</v>
      </c>
      <c r="F565" s="59">
        <f t="shared" si="6"/>
        <v>250000</v>
      </c>
      <c r="G565" s="56">
        <v>5.0</v>
      </c>
      <c r="H565" s="59">
        <f t="shared" si="1"/>
        <v>250000</v>
      </c>
      <c r="I565" s="39"/>
      <c r="J565" s="39"/>
      <c r="K565" s="60">
        <f t="shared" si="2"/>
        <v>0</v>
      </c>
      <c r="L565" s="39"/>
      <c r="M565" s="59">
        <f t="shared" si="3"/>
        <v>0</v>
      </c>
      <c r="N565" s="69">
        <v>5.0</v>
      </c>
      <c r="O565" s="62">
        <f t="shared" si="4"/>
        <v>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4">
        <v>558.0</v>
      </c>
      <c r="C566" s="56" t="s">
        <v>606</v>
      </c>
      <c r="D566" s="67">
        <v>21000.0</v>
      </c>
      <c r="E566" s="56">
        <v>3.0</v>
      </c>
      <c r="F566" s="59">
        <f t="shared" si="6"/>
        <v>63000</v>
      </c>
      <c r="G566" s="56">
        <v>3.0</v>
      </c>
      <c r="H566" s="59">
        <f t="shared" si="1"/>
        <v>63000</v>
      </c>
      <c r="I566" s="39"/>
      <c r="J566" s="39"/>
      <c r="K566" s="60">
        <f t="shared" si="2"/>
        <v>0</v>
      </c>
      <c r="L566" s="39"/>
      <c r="M566" s="59">
        <f t="shared" si="3"/>
        <v>0</v>
      </c>
      <c r="N566" s="69">
        <v>3.0</v>
      </c>
      <c r="O566" s="62">
        <f t="shared" si="4"/>
        <v>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4">
        <v>559.0</v>
      </c>
      <c r="C567" s="56" t="s">
        <v>607</v>
      </c>
      <c r="D567" s="67">
        <v>15000.0</v>
      </c>
      <c r="E567" s="56">
        <v>2.0</v>
      </c>
      <c r="F567" s="59">
        <f t="shared" si="6"/>
        <v>30000</v>
      </c>
      <c r="G567" s="56">
        <v>2.0</v>
      </c>
      <c r="H567" s="59">
        <f t="shared" si="1"/>
        <v>30000</v>
      </c>
      <c r="I567" s="39"/>
      <c r="J567" s="39"/>
      <c r="K567" s="60">
        <f t="shared" si="2"/>
        <v>0</v>
      </c>
      <c r="L567" s="39"/>
      <c r="M567" s="59">
        <f t="shared" si="3"/>
        <v>0</v>
      </c>
      <c r="N567" s="69">
        <v>2.0</v>
      </c>
      <c r="O567" s="62">
        <f t="shared" si="4"/>
        <v>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4">
        <v>560.0</v>
      </c>
      <c r="C568" s="56" t="s">
        <v>608</v>
      </c>
      <c r="D568" s="67">
        <v>10000.0</v>
      </c>
      <c r="E568" s="56">
        <v>1.0</v>
      </c>
      <c r="F568" s="59">
        <f t="shared" si="6"/>
        <v>10000</v>
      </c>
      <c r="G568" s="56">
        <v>1.0</v>
      </c>
      <c r="H568" s="59">
        <f t="shared" si="1"/>
        <v>10000</v>
      </c>
      <c r="I568" s="39"/>
      <c r="J568" s="39"/>
      <c r="K568" s="60">
        <f t="shared" si="2"/>
        <v>0</v>
      </c>
      <c r="L568" s="39"/>
      <c r="M568" s="59">
        <f t="shared" si="3"/>
        <v>0</v>
      </c>
      <c r="N568" s="69">
        <v>1.0</v>
      </c>
      <c r="O568" s="62">
        <f t="shared" si="4"/>
        <v>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4">
        <v>561.0</v>
      </c>
      <c r="C569" s="56" t="s">
        <v>609</v>
      </c>
      <c r="D569" s="67">
        <v>5000.0</v>
      </c>
      <c r="E569" s="56">
        <v>9.0</v>
      </c>
      <c r="F569" s="59">
        <f t="shared" si="6"/>
        <v>45000</v>
      </c>
      <c r="G569" s="56">
        <v>0.0</v>
      </c>
      <c r="H569" s="59">
        <f t="shared" si="1"/>
        <v>0</v>
      </c>
      <c r="I569" s="39"/>
      <c r="J569" s="56">
        <v>9.0</v>
      </c>
      <c r="K569" s="60">
        <f t="shared" si="2"/>
        <v>45000</v>
      </c>
      <c r="L569" s="39"/>
      <c r="M569" s="59">
        <f t="shared" si="3"/>
        <v>0</v>
      </c>
      <c r="N569" s="69">
        <v>0.0</v>
      </c>
      <c r="O569" s="62">
        <f t="shared" si="4"/>
        <v>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4">
        <v>562.0</v>
      </c>
      <c r="C570" s="56" t="s">
        <v>610</v>
      </c>
      <c r="D570" s="67">
        <v>7000.0</v>
      </c>
      <c r="E570" s="56">
        <v>1.0</v>
      </c>
      <c r="F570" s="59">
        <f t="shared" si="6"/>
        <v>7000</v>
      </c>
      <c r="G570" s="56">
        <v>1.0</v>
      </c>
      <c r="H570" s="59">
        <f t="shared" si="1"/>
        <v>7000</v>
      </c>
      <c r="I570" s="39"/>
      <c r="J570" s="39"/>
      <c r="K570" s="60">
        <f t="shared" si="2"/>
        <v>0</v>
      </c>
      <c r="L570" s="39"/>
      <c r="M570" s="59">
        <f t="shared" si="3"/>
        <v>0</v>
      </c>
      <c r="N570" s="69">
        <v>1.0</v>
      </c>
      <c r="O570" s="62">
        <f t="shared" si="4"/>
        <v>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4">
        <v>563.0</v>
      </c>
      <c r="C571" s="56" t="s">
        <v>611</v>
      </c>
      <c r="D571" s="67">
        <v>533800.0</v>
      </c>
      <c r="E571" s="56">
        <v>1.0</v>
      </c>
      <c r="F571" s="59">
        <f t="shared" si="6"/>
        <v>533800</v>
      </c>
      <c r="G571" s="56">
        <v>1.0</v>
      </c>
      <c r="H571" s="59">
        <f t="shared" si="1"/>
        <v>533800</v>
      </c>
      <c r="I571" s="39"/>
      <c r="J571" s="39"/>
      <c r="K571" s="60">
        <f t="shared" si="2"/>
        <v>0</v>
      </c>
      <c r="L571" s="39"/>
      <c r="M571" s="59">
        <f t="shared" si="3"/>
        <v>0</v>
      </c>
      <c r="N571" s="69">
        <v>1.0</v>
      </c>
      <c r="O571" s="62">
        <f t="shared" si="4"/>
        <v>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4">
        <v>564.0</v>
      </c>
      <c r="C572" s="56" t="s">
        <v>612</v>
      </c>
      <c r="D572" s="67">
        <v>8000.0</v>
      </c>
      <c r="E572" s="56">
        <v>5.0</v>
      </c>
      <c r="F572" s="59">
        <f t="shared" si="6"/>
        <v>40000</v>
      </c>
      <c r="G572" s="56">
        <v>6.0</v>
      </c>
      <c r="H572" s="59">
        <f t="shared" si="1"/>
        <v>48000</v>
      </c>
      <c r="I572" s="39"/>
      <c r="J572" s="39"/>
      <c r="K572" s="60">
        <f t="shared" si="2"/>
        <v>0</v>
      </c>
      <c r="L572" s="56">
        <v>1.0</v>
      </c>
      <c r="M572" s="59">
        <f t="shared" si="3"/>
        <v>8000</v>
      </c>
      <c r="N572" s="69">
        <v>6.0</v>
      </c>
      <c r="O572" s="62">
        <f t="shared" si="4"/>
        <v>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4">
        <v>565.0</v>
      </c>
      <c r="C573" s="56" t="s">
        <v>613</v>
      </c>
      <c r="D573" s="67">
        <v>15000.0</v>
      </c>
      <c r="E573" s="56">
        <v>1.0</v>
      </c>
      <c r="F573" s="59">
        <f t="shared" si="6"/>
        <v>15000</v>
      </c>
      <c r="G573" s="56">
        <v>1.0</v>
      </c>
      <c r="H573" s="59">
        <f t="shared" si="1"/>
        <v>15000</v>
      </c>
      <c r="I573" s="39"/>
      <c r="J573" s="39"/>
      <c r="K573" s="60">
        <f t="shared" si="2"/>
        <v>0</v>
      </c>
      <c r="L573" s="39"/>
      <c r="M573" s="59">
        <f t="shared" si="3"/>
        <v>0</v>
      </c>
      <c r="N573" s="69">
        <v>1.0</v>
      </c>
      <c r="O573" s="62">
        <f t="shared" si="4"/>
        <v>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4">
        <v>566.0</v>
      </c>
      <c r="C574" s="56" t="s">
        <v>614</v>
      </c>
      <c r="D574" s="67">
        <v>8000.0</v>
      </c>
      <c r="E574" s="56">
        <v>8.0</v>
      </c>
      <c r="F574" s="59">
        <f t="shared" si="6"/>
        <v>64000</v>
      </c>
      <c r="G574" s="56">
        <v>8.0</v>
      </c>
      <c r="H574" s="59">
        <f t="shared" si="1"/>
        <v>64000</v>
      </c>
      <c r="I574" s="39"/>
      <c r="J574" s="39"/>
      <c r="K574" s="60">
        <f t="shared" si="2"/>
        <v>0</v>
      </c>
      <c r="L574" s="39"/>
      <c r="M574" s="59">
        <f t="shared" si="3"/>
        <v>0</v>
      </c>
      <c r="N574" s="69">
        <v>8.0</v>
      </c>
      <c r="O574" s="62">
        <f t="shared" si="4"/>
        <v>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4">
        <v>567.0</v>
      </c>
      <c r="C575" s="56" t="s">
        <v>615</v>
      </c>
      <c r="D575" s="67">
        <v>6000.0</v>
      </c>
      <c r="E575" s="56">
        <v>1.0</v>
      </c>
      <c r="F575" s="59">
        <f t="shared" si="6"/>
        <v>6000</v>
      </c>
      <c r="G575" s="56">
        <v>0.0</v>
      </c>
      <c r="H575" s="59">
        <f t="shared" si="1"/>
        <v>0</v>
      </c>
      <c r="I575" s="39"/>
      <c r="J575" s="56">
        <v>1.0</v>
      </c>
      <c r="K575" s="60">
        <f t="shared" si="2"/>
        <v>6000</v>
      </c>
      <c r="L575" s="39"/>
      <c r="M575" s="59">
        <f t="shared" si="3"/>
        <v>0</v>
      </c>
      <c r="N575" s="69">
        <v>0.0</v>
      </c>
      <c r="O575" s="62">
        <f t="shared" si="4"/>
        <v>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4">
        <v>568.0</v>
      </c>
      <c r="C576" s="56" t="s">
        <v>616</v>
      </c>
      <c r="D576" s="67">
        <v>7500.0</v>
      </c>
      <c r="E576" s="56">
        <v>11.0</v>
      </c>
      <c r="F576" s="59">
        <f t="shared" si="6"/>
        <v>82500</v>
      </c>
      <c r="G576" s="56">
        <v>11.0</v>
      </c>
      <c r="H576" s="59">
        <f t="shared" si="1"/>
        <v>82500</v>
      </c>
      <c r="I576" s="39"/>
      <c r="J576" s="39"/>
      <c r="K576" s="60">
        <f t="shared" si="2"/>
        <v>0</v>
      </c>
      <c r="L576" s="39"/>
      <c r="M576" s="59">
        <f t="shared" si="3"/>
        <v>0</v>
      </c>
      <c r="N576" s="69">
        <v>11.0</v>
      </c>
      <c r="O576" s="62">
        <f t="shared" si="4"/>
        <v>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4">
        <v>569.0</v>
      </c>
      <c r="C577" s="56" t="s">
        <v>617</v>
      </c>
      <c r="D577" s="67">
        <v>14500.0</v>
      </c>
      <c r="E577" s="56">
        <v>9.0</v>
      </c>
      <c r="F577" s="59">
        <f t="shared" si="6"/>
        <v>130500</v>
      </c>
      <c r="G577" s="56">
        <v>9.0</v>
      </c>
      <c r="H577" s="59">
        <f t="shared" si="1"/>
        <v>130500</v>
      </c>
      <c r="I577" s="39"/>
      <c r="J577" s="39"/>
      <c r="K577" s="60">
        <f t="shared" si="2"/>
        <v>0</v>
      </c>
      <c r="L577" s="39"/>
      <c r="M577" s="59">
        <f t="shared" si="3"/>
        <v>0</v>
      </c>
      <c r="N577" s="69">
        <v>9.0</v>
      </c>
      <c r="O577" s="62">
        <f t="shared" si="4"/>
        <v>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4">
        <v>570.0</v>
      </c>
      <c r="C578" s="56" t="s">
        <v>618</v>
      </c>
      <c r="D578" s="67">
        <v>12500.0</v>
      </c>
      <c r="E578" s="56">
        <v>6.0</v>
      </c>
      <c r="F578" s="59">
        <f t="shared" si="6"/>
        <v>75000</v>
      </c>
      <c r="G578" s="56">
        <v>6.0</v>
      </c>
      <c r="H578" s="59">
        <f t="shared" si="1"/>
        <v>75000</v>
      </c>
      <c r="I578" s="39"/>
      <c r="J578" s="39"/>
      <c r="K578" s="60">
        <f t="shared" si="2"/>
        <v>0</v>
      </c>
      <c r="L578" s="39"/>
      <c r="M578" s="59">
        <f t="shared" si="3"/>
        <v>0</v>
      </c>
      <c r="N578" s="69">
        <v>6.0</v>
      </c>
      <c r="O578" s="62">
        <f t="shared" si="4"/>
        <v>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4">
        <v>571.0</v>
      </c>
      <c r="C579" s="56" t="s">
        <v>619</v>
      </c>
      <c r="D579" s="67">
        <v>7500.0</v>
      </c>
      <c r="E579" s="56">
        <v>0.0</v>
      </c>
      <c r="F579" s="59">
        <f t="shared" si="6"/>
        <v>0</v>
      </c>
      <c r="G579" s="56">
        <v>0.0</v>
      </c>
      <c r="H579" s="59">
        <f t="shared" si="1"/>
        <v>0</v>
      </c>
      <c r="I579" s="39"/>
      <c r="J579" s="39"/>
      <c r="K579" s="60">
        <f t="shared" si="2"/>
        <v>0</v>
      </c>
      <c r="L579" s="39"/>
      <c r="M579" s="59">
        <f t="shared" si="3"/>
        <v>0</v>
      </c>
      <c r="N579" s="69">
        <v>0.0</v>
      </c>
      <c r="O579" s="62">
        <f t="shared" si="4"/>
        <v>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4">
        <v>572.0</v>
      </c>
      <c r="C580" s="56" t="s">
        <v>620</v>
      </c>
      <c r="D580" s="67">
        <v>6000.0</v>
      </c>
      <c r="E580" s="56">
        <v>3.0</v>
      </c>
      <c r="F580" s="59">
        <f t="shared" si="6"/>
        <v>18000</v>
      </c>
      <c r="G580" s="56">
        <v>3.0</v>
      </c>
      <c r="H580" s="59">
        <f t="shared" si="1"/>
        <v>18000</v>
      </c>
      <c r="I580" s="39"/>
      <c r="J580" s="39"/>
      <c r="K580" s="60">
        <f t="shared" si="2"/>
        <v>0</v>
      </c>
      <c r="L580" s="39"/>
      <c r="M580" s="59">
        <f t="shared" si="3"/>
        <v>0</v>
      </c>
      <c r="N580" s="69">
        <v>3.0</v>
      </c>
      <c r="O580" s="62">
        <f t="shared" si="4"/>
        <v>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4">
        <v>573.0</v>
      </c>
      <c r="C581" s="56" t="s">
        <v>621</v>
      </c>
      <c r="D581" s="67">
        <v>6000.0</v>
      </c>
      <c r="E581" s="56">
        <v>2.0</v>
      </c>
      <c r="F581" s="59">
        <f t="shared" si="6"/>
        <v>12000</v>
      </c>
      <c r="G581" s="56">
        <v>2.0</v>
      </c>
      <c r="H581" s="59">
        <f t="shared" si="1"/>
        <v>12000</v>
      </c>
      <c r="I581" s="39"/>
      <c r="J581" s="39"/>
      <c r="K581" s="60">
        <f t="shared" si="2"/>
        <v>0</v>
      </c>
      <c r="L581" s="39"/>
      <c r="M581" s="59">
        <f t="shared" si="3"/>
        <v>0</v>
      </c>
      <c r="N581" s="69">
        <v>2.0</v>
      </c>
      <c r="O581" s="62">
        <f t="shared" si="4"/>
        <v>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4">
        <v>574.0</v>
      </c>
      <c r="C582" s="56" t="s">
        <v>622</v>
      </c>
      <c r="D582" s="67">
        <v>6000.0</v>
      </c>
      <c r="E582" s="56">
        <v>8.0</v>
      </c>
      <c r="F582" s="59">
        <f t="shared" si="6"/>
        <v>48000</v>
      </c>
      <c r="G582" s="56">
        <v>8.0</v>
      </c>
      <c r="H582" s="59">
        <f t="shared" si="1"/>
        <v>48000</v>
      </c>
      <c r="I582" s="39"/>
      <c r="J582" s="39"/>
      <c r="K582" s="60">
        <f t="shared" si="2"/>
        <v>0</v>
      </c>
      <c r="L582" s="39"/>
      <c r="M582" s="59">
        <f t="shared" si="3"/>
        <v>0</v>
      </c>
      <c r="N582" s="69">
        <v>8.0</v>
      </c>
      <c r="O582" s="62">
        <f t="shared" si="4"/>
        <v>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4">
        <v>575.0</v>
      </c>
      <c r="C583" s="56" t="s">
        <v>623</v>
      </c>
      <c r="D583" s="67">
        <v>6000.0</v>
      </c>
      <c r="E583" s="56">
        <v>3.0</v>
      </c>
      <c r="F583" s="59">
        <f t="shared" si="6"/>
        <v>18000</v>
      </c>
      <c r="G583" s="56">
        <v>3.0</v>
      </c>
      <c r="H583" s="59">
        <f t="shared" si="1"/>
        <v>18000</v>
      </c>
      <c r="I583" s="39"/>
      <c r="J583" s="39"/>
      <c r="K583" s="60">
        <f t="shared" si="2"/>
        <v>0</v>
      </c>
      <c r="L583" s="39"/>
      <c r="M583" s="59">
        <f t="shared" si="3"/>
        <v>0</v>
      </c>
      <c r="N583" s="69">
        <v>3.0</v>
      </c>
      <c r="O583" s="62">
        <f t="shared" si="4"/>
        <v>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4">
        <v>576.0</v>
      </c>
      <c r="C584" s="56" t="s">
        <v>624</v>
      </c>
      <c r="D584" s="67">
        <v>6000.0</v>
      </c>
      <c r="E584" s="56">
        <v>25.0</v>
      </c>
      <c r="F584" s="59">
        <f t="shared" si="6"/>
        <v>150000</v>
      </c>
      <c r="G584" s="56">
        <v>25.0</v>
      </c>
      <c r="H584" s="59">
        <f t="shared" si="1"/>
        <v>150000</v>
      </c>
      <c r="I584" s="39"/>
      <c r="J584" s="39"/>
      <c r="K584" s="60">
        <f t="shared" si="2"/>
        <v>0</v>
      </c>
      <c r="L584" s="39"/>
      <c r="M584" s="59">
        <f t="shared" si="3"/>
        <v>0</v>
      </c>
      <c r="N584" s="69">
        <v>25.0</v>
      </c>
      <c r="O584" s="62">
        <f t="shared" si="4"/>
        <v>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4">
        <v>577.0</v>
      </c>
      <c r="C585" s="56" t="s">
        <v>625</v>
      </c>
      <c r="D585" s="67">
        <v>6000.0</v>
      </c>
      <c r="E585" s="56">
        <v>4.0</v>
      </c>
      <c r="F585" s="59">
        <f t="shared" si="6"/>
        <v>24000</v>
      </c>
      <c r="G585" s="56">
        <v>4.0</v>
      </c>
      <c r="H585" s="59">
        <f t="shared" si="1"/>
        <v>24000</v>
      </c>
      <c r="I585" s="39"/>
      <c r="J585" s="39"/>
      <c r="K585" s="60">
        <f t="shared" si="2"/>
        <v>0</v>
      </c>
      <c r="L585" s="39"/>
      <c r="M585" s="59">
        <f t="shared" si="3"/>
        <v>0</v>
      </c>
      <c r="N585" s="69">
        <v>4.0</v>
      </c>
      <c r="O585" s="62">
        <f t="shared" si="4"/>
        <v>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4">
        <v>578.0</v>
      </c>
      <c r="C586" s="56" t="s">
        <v>626</v>
      </c>
      <c r="D586" s="67">
        <v>10000.0</v>
      </c>
      <c r="E586" s="56">
        <v>1.0</v>
      </c>
      <c r="F586" s="59">
        <f t="shared" si="6"/>
        <v>10000</v>
      </c>
      <c r="G586" s="56">
        <v>1.0</v>
      </c>
      <c r="H586" s="59">
        <f t="shared" si="1"/>
        <v>10000</v>
      </c>
      <c r="I586" s="39"/>
      <c r="J586" s="39"/>
      <c r="K586" s="60">
        <f t="shared" si="2"/>
        <v>0</v>
      </c>
      <c r="L586" s="39"/>
      <c r="M586" s="59">
        <f t="shared" si="3"/>
        <v>0</v>
      </c>
      <c r="N586" s="69">
        <v>1.0</v>
      </c>
      <c r="O586" s="62">
        <f t="shared" si="4"/>
        <v>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4">
        <v>579.0</v>
      </c>
      <c r="C587" s="56" t="s">
        <v>627</v>
      </c>
      <c r="D587" s="67">
        <v>14500.0</v>
      </c>
      <c r="E587" s="56">
        <v>0.0</v>
      </c>
      <c r="F587" s="59">
        <f t="shared" si="6"/>
        <v>0</v>
      </c>
      <c r="G587" s="56">
        <v>0.0</v>
      </c>
      <c r="H587" s="59">
        <f t="shared" si="1"/>
        <v>0</v>
      </c>
      <c r="I587" s="39"/>
      <c r="J587" s="39"/>
      <c r="K587" s="60">
        <f t="shared" si="2"/>
        <v>0</v>
      </c>
      <c r="L587" s="39"/>
      <c r="M587" s="59">
        <f t="shared" si="3"/>
        <v>0</v>
      </c>
      <c r="N587" s="69">
        <v>0.0</v>
      </c>
      <c r="O587" s="62">
        <f t="shared" si="4"/>
        <v>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4">
        <v>580.0</v>
      </c>
      <c r="C588" s="56" t="s">
        <v>628</v>
      </c>
      <c r="D588" s="67">
        <v>8558.56</v>
      </c>
      <c r="E588" s="56">
        <v>14.0</v>
      </c>
      <c r="F588" s="59">
        <f t="shared" si="6"/>
        <v>119819.84</v>
      </c>
      <c r="G588" s="56">
        <v>14.0</v>
      </c>
      <c r="H588" s="59">
        <f t="shared" si="1"/>
        <v>119819.84</v>
      </c>
      <c r="I588" s="39"/>
      <c r="J588" s="39"/>
      <c r="K588" s="60">
        <f t="shared" si="2"/>
        <v>0</v>
      </c>
      <c r="L588" s="39"/>
      <c r="M588" s="59">
        <f t="shared" si="3"/>
        <v>0</v>
      </c>
      <c r="N588" s="69">
        <v>14.0</v>
      </c>
      <c r="O588" s="62">
        <f t="shared" si="4"/>
        <v>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4">
        <v>581.0</v>
      </c>
      <c r="C589" s="56" t="s">
        <v>629</v>
      </c>
      <c r="D589" s="67">
        <v>5000.0</v>
      </c>
      <c r="E589" s="56">
        <v>23.0</v>
      </c>
      <c r="F589" s="59">
        <f t="shared" si="6"/>
        <v>115000</v>
      </c>
      <c r="G589" s="56">
        <v>23.0</v>
      </c>
      <c r="H589" s="59">
        <f t="shared" si="1"/>
        <v>115000</v>
      </c>
      <c r="I589" s="39"/>
      <c r="J589" s="39"/>
      <c r="K589" s="60">
        <f t="shared" si="2"/>
        <v>0</v>
      </c>
      <c r="L589" s="39"/>
      <c r="M589" s="59">
        <f t="shared" si="3"/>
        <v>0</v>
      </c>
      <c r="N589" s="69">
        <v>23.0</v>
      </c>
      <c r="O589" s="62">
        <f t="shared" si="4"/>
        <v>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4">
        <v>582.0</v>
      </c>
      <c r="C590" s="56" t="s">
        <v>630</v>
      </c>
      <c r="D590" s="67">
        <v>4000.0</v>
      </c>
      <c r="E590" s="56">
        <v>1.0</v>
      </c>
      <c r="F590" s="59">
        <f t="shared" si="6"/>
        <v>4000</v>
      </c>
      <c r="G590" s="56">
        <v>1.0</v>
      </c>
      <c r="H590" s="59">
        <f t="shared" si="1"/>
        <v>4000</v>
      </c>
      <c r="I590" s="39"/>
      <c r="J590" s="39"/>
      <c r="K590" s="60">
        <f t="shared" si="2"/>
        <v>0</v>
      </c>
      <c r="L590" s="39"/>
      <c r="M590" s="59">
        <f t="shared" si="3"/>
        <v>0</v>
      </c>
      <c r="N590" s="69">
        <v>1.0</v>
      </c>
      <c r="O590" s="62">
        <f t="shared" si="4"/>
        <v>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4">
        <v>583.0</v>
      </c>
      <c r="C591" s="56" t="s">
        <v>631</v>
      </c>
      <c r="D591" s="67">
        <v>5400.0</v>
      </c>
      <c r="E591" s="56">
        <v>5.0</v>
      </c>
      <c r="F591" s="59">
        <f t="shared" si="6"/>
        <v>27000</v>
      </c>
      <c r="G591" s="56">
        <v>5.0</v>
      </c>
      <c r="H591" s="59">
        <f t="shared" si="1"/>
        <v>27000</v>
      </c>
      <c r="I591" s="39"/>
      <c r="J591" s="39"/>
      <c r="K591" s="60">
        <f t="shared" si="2"/>
        <v>0</v>
      </c>
      <c r="L591" s="39"/>
      <c r="M591" s="59">
        <f t="shared" si="3"/>
        <v>0</v>
      </c>
      <c r="N591" s="69">
        <v>5.0</v>
      </c>
      <c r="O591" s="62">
        <f t="shared" si="4"/>
        <v>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4">
        <v>584.0</v>
      </c>
      <c r="C592" s="56" t="s">
        <v>632</v>
      </c>
      <c r="D592" s="67">
        <v>5700.0</v>
      </c>
      <c r="E592" s="56">
        <v>1.0</v>
      </c>
      <c r="F592" s="59">
        <f t="shared" si="6"/>
        <v>5700</v>
      </c>
      <c r="G592" s="56">
        <v>1.0</v>
      </c>
      <c r="H592" s="59">
        <f t="shared" si="1"/>
        <v>5700</v>
      </c>
      <c r="I592" s="39"/>
      <c r="J592" s="39"/>
      <c r="K592" s="60">
        <f t="shared" si="2"/>
        <v>0</v>
      </c>
      <c r="L592" s="39"/>
      <c r="M592" s="59">
        <f t="shared" si="3"/>
        <v>0</v>
      </c>
      <c r="N592" s="69">
        <v>1.0</v>
      </c>
      <c r="O592" s="62">
        <f t="shared" si="4"/>
        <v>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4">
        <v>585.0</v>
      </c>
      <c r="C593" s="56" t="s">
        <v>633</v>
      </c>
      <c r="D593" s="67">
        <v>15000.0</v>
      </c>
      <c r="E593" s="56">
        <v>20.0</v>
      </c>
      <c r="F593" s="59">
        <f t="shared" si="6"/>
        <v>300000</v>
      </c>
      <c r="G593" s="56">
        <v>20.0</v>
      </c>
      <c r="H593" s="59">
        <f t="shared" si="1"/>
        <v>300000</v>
      </c>
      <c r="I593" s="39"/>
      <c r="J593" s="39"/>
      <c r="K593" s="60">
        <f t="shared" si="2"/>
        <v>0</v>
      </c>
      <c r="L593" s="39"/>
      <c r="M593" s="59">
        <f t="shared" si="3"/>
        <v>0</v>
      </c>
      <c r="N593" s="69">
        <v>20.0</v>
      </c>
      <c r="O593" s="62">
        <f t="shared" si="4"/>
        <v>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4">
        <v>586.0</v>
      </c>
      <c r="C594" s="56" t="s">
        <v>634</v>
      </c>
      <c r="D594" s="67">
        <v>9000.0</v>
      </c>
      <c r="E594" s="56">
        <v>68.0</v>
      </c>
      <c r="F594" s="59">
        <f t="shared" si="6"/>
        <v>612000</v>
      </c>
      <c r="G594" s="56">
        <v>38.0</v>
      </c>
      <c r="H594" s="59">
        <f t="shared" si="1"/>
        <v>342000</v>
      </c>
      <c r="I594" s="39"/>
      <c r="J594" s="56">
        <v>30.0</v>
      </c>
      <c r="K594" s="60">
        <f t="shared" si="2"/>
        <v>270000</v>
      </c>
      <c r="L594" s="39"/>
      <c r="M594" s="59">
        <f t="shared" si="3"/>
        <v>0</v>
      </c>
      <c r="N594" s="69">
        <v>38.0</v>
      </c>
      <c r="O594" s="62">
        <f t="shared" si="4"/>
        <v>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4">
        <v>587.0</v>
      </c>
      <c r="C595" s="56" t="s">
        <v>635</v>
      </c>
      <c r="D595" s="67">
        <v>7000.0</v>
      </c>
      <c r="E595" s="56">
        <v>102.0</v>
      </c>
      <c r="F595" s="59">
        <f t="shared" si="6"/>
        <v>714000</v>
      </c>
      <c r="G595" s="56">
        <v>134.0</v>
      </c>
      <c r="H595" s="59">
        <f t="shared" si="1"/>
        <v>938000</v>
      </c>
      <c r="I595" s="39"/>
      <c r="J595" s="39"/>
      <c r="K595" s="60">
        <f t="shared" si="2"/>
        <v>0</v>
      </c>
      <c r="L595" s="56">
        <v>32.0</v>
      </c>
      <c r="M595" s="59">
        <f t="shared" si="3"/>
        <v>224000</v>
      </c>
      <c r="N595" s="69">
        <v>134.0</v>
      </c>
      <c r="O595" s="62">
        <f t="shared" si="4"/>
        <v>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4">
        <v>588.0</v>
      </c>
      <c r="C596" s="56" t="s">
        <v>636</v>
      </c>
      <c r="D596" s="67">
        <v>11500.0</v>
      </c>
      <c r="E596" s="56">
        <v>35.0</v>
      </c>
      <c r="F596" s="59">
        <f t="shared" si="6"/>
        <v>402500</v>
      </c>
      <c r="G596" s="56">
        <v>35.0</v>
      </c>
      <c r="H596" s="59">
        <f t="shared" si="1"/>
        <v>402500</v>
      </c>
      <c r="I596" s="39"/>
      <c r="J596" s="39"/>
      <c r="K596" s="60">
        <f t="shared" si="2"/>
        <v>0</v>
      </c>
      <c r="L596" s="39"/>
      <c r="M596" s="59">
        <f t="shared" si="3"/>
        <v>0</v>
      </c>
      <c r="N596" s="69">
        <v>35.0</v>
      </c>
      <c r="O596" s="62">
        <f t="shared" si="4"/>
        <v>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4">
        <v>589.0</v>
      </c>
      <c r="C597" s="56" t="s">
        <v>637</v>
      </c>
      <c r="D597" s="67">
        <v>8558.56</v>
      </c>
      <c r="E597" s="56">
        <v>8.0</v>
      </c>
      <c r="F597" s="59">
        <f t="shared" si="6"/>
        <v>68468.48</v>
      </c>
      <c r="G597" s="56">
        <v>8.0</v>
      </c>
      <c r="H597" s="59">
        <f t="shared" si="1"/>
        <v>68468.48</v>
      </c>
      <c r="I597" s="39"/>
      <c r="J597" s="39"/>
      <c r="K597" s="60">
        <f t="shared" si="2"/>
        <v>0</v>
      </c>
      <c r="L597" s="39"/>
      <c r="M597" s="59">
        <f t="shared" si="3"/>
        <v>0</v>
      </c>
      <c r="N597" s="69">
        <v>8.0</v>
      </c>
      <c r="O597" s="62">
        <f t="shared" si="4"/>
        <v>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4">
        <v>590.0</v>
      </c>
      <c r="C598" s="56" t="s">
        <v>638</v>
      </c>
      <c r="D598" s="67">
        <v>7500.0</v>
      </c>
      <c r="E598" s="56">
        <v>1.0</v>
      </c>
      <c r="F598" s="59">
        <f t="shared" si="6"/>
        <v>7500</v>
      </c>
      <c r="G598" s="56">
        <v>1.0</v>
      </c>
      <c r="H598" s="59">
        <f t="shared" si="1"/>
        <v>7500</v>
      </c>
      <c r="I598" s="39"/>
      <c r="J598" s="39"/>
      <c r="K598" s="60">
        <f t="shared" si="2"/>
        <v>0</v>
      </c>
      <c r="L598" s="39"/>
      <c r="M598" s="59">
        <f t="shared" si="3"/>
        <v>0</v>
      </c>
      <c r="N598" s="69">
        <v>1.0</v>
      </c>
      <c r="O598" s="62">
        <f t="shared" si="4"/>
        <v>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4">
        <v>591.0</v>
      </c>
      <c r="C599" s="56" t="s">
        <v>639</v>
      </c>
      <c r="D599" s="67">
        <v>400.0</v>
      </c>
      <c r="E599" s="56">
        <v>687.0</v>
      </c>
      <c r="F599" s="59">
        <f t="shared" si="6"/>
        <v>274800</v>
      </c>
      <c r="G599" s="56">
        <v>687.0</v>
      </c>
      <c r="H599" s="59">
        <f t="shared" si="1"/>
        <v>274800</v>
      </c>
      <c r="I599" s="39"/>
      <c r="J599" s="39"/>
      <c r="K599" s="60">
        <f t="shared" si="2"/>
        <v>0</v>
      </c>
      <c r="L599" s="39"/>
      <c r="M599" s="59">
        <f t="shared" si="3"/>
        <v>0</v>
      </c>
      <c r="N599" s="69">
        <v>687.0</v>
      </c>
      <c r="O599" s="62">
        <f t="shared" si="4"/>
        <v>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4">
        <v>592.0</v>
      </c>
      <c r="C600" s="56" t="s">
        <v>640</v>
      </c>
      <c r="D600" s="67">
        <v>439000.0</v>
      </c>
      <c r="E600" s="56">
        <v>1.0</v>
      </c>
      <c r="F600" s="59">
        <f t="shared" si="6"/>
        <v>439000</v>
      </c>
      <c r="G600" s="56">
        <v>1.0</v>
      </c>
      <c r="H600" s="59">
        <f t="shared" si="1"/>
        <v>439000</v>
      </c>
      <c r="I600" s="39"/>
      <c r="J600" s="39"/>
      <c r="K600" s="60">
        <f t="shared" si="2"/>
        <v>0</v>
      </c>
      <c r="L600" s="39"/>
      <c r="M600" s="59">
        <f t="shared" si="3"/>
        <v>0</v>
      </c>
      <c r="N600" s="69">
        <v>1.0</v>
      </c>
      <c r="O600" s="62">
        <f t="shared" si="4"/>
        <v>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4">
        <v>593.0</v>
      </c>
      <c r="C601" s="56" t="s">
        <v>641</v>
      </c>
      <c r="D601" s="67">
        <v>14000.0</v>
      </c>
      <c r="E601" s="56">
        <v>7.0</v>
      </c>
      <c r="F601" s="59">
        <f t="shared" si="6"/>
        <v>98000</v>
      </c>
      <c r="G601" s="56">
        <v>7.0</v>
      </c>
      <c r="H601" s="59">
        <f t="shared" si="1"/>
        <v>98000</v>
      </c>
      <c r="I601" s="39"/>
      <c r="J601" s="39"/>
      <c r="K601" s="60">
        <f t="shared" si="2"/>
        <v>0</v>
      </c>
      <c r="L601" s="39"/>
      <c r="M601" s="59">
        <f t="shared" si="3"/>
        <v>0</v>
      </c>
      <c r="N601" s="69">
        <v>7.0</v>
      </c>
      <c r="O601" s="62">
        <f t="shared" si="4"/>
        <v>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4">
        <v>594.0</v>
      </c>
      <c r="C602" s="56" t="s">
        <v>642</v>
      </c>
      <c r="D602" s="67">
        <v>12000.0</v>
      </c>
      <c r="E602" s="56">
        <v>6.0</v>
      </c>
      <c r="F602" s="59">
        <f t="shared" si="6"/>
        <v>72000</v>
      </c>
      <c r="G602" s="56">
        <v>6.0</v>
      </c>
      <c r="H602" s="59">
        <f t="shared" si="1"/>
        <v>72000</v>
      </c>
      <c r="I602" s="39"/>
      <c r="J602" s="39"/>
      <c r="K602" s="60">
        <f t="shared" si="2"/>
        <v>0</v>
      </c>
      <c r="L602" s="39"/>
      <c r="M602" s="59">
        <f t="shared" si="3"/>
        <v>0</v>
      </c>
      <c r="N602" s="69">
        <v>6.0</v>
      </c>
      <c r="O602" s="62">
        <f t="shared" si="4"/>
        <v>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4">
        <v>595.0</v>
      </c>
      <c r="C603" s="56" t="s">
        <v>643</v>
      </c>
      <c r="D603" s="67">
        <v>10000.0</v>
      </c>
      <c r="E603" s="56">
        <v>9.0</v>
      </c>
      <c r="F603" s="59">
        <f t="shared" si="6"/>
        <v>90000</v>
      </c>
      <c r="G603" s="56">
        <v>9.0</v>
      </c>
      <c r="H603" s="59">
        <f t="shared" si="1"/>
        <v>90000</v>
      </c>
      <c r="I603" s="39"/>
      <c r="J603" s="39"/>
      <c r="K603" s="60">
        <f t="shared" si="2"/>
        <v>0</v>
      </c>
      <c r="L603" s="39"/>
      <c r="M603" s="59">
        <f t="shared" si="3"/>
        <v>0</v>
      </c>
      <c r="N603" s="69">
        <v>9.0</v>
      </c>
      <c r="O603" s="62">
        <f t="shared" si="4"/>
        <v>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4">
        <v>596.0</v>
      </c>
      <c r="C604" s="56" t="s">
        <v>644</v>
      </c>
      <c r="D604" s="67">
        <v>3600.0</v>
      </c>
      <c r="E604" s="56">
        <v>11.5</v>
      </c>
      <c r="F604" s="59">
        <f t="shared" si="6"/>
        <v>41400</v>
      </c>
      <c r="G604" s="56">
        <v>9.5</v>
      </c>
      <c r="H604" s="59">
        <f t="shared" si="1"/>
        <v>34200</v>
      </c>
      <c r="I604" s="39"/>
      <c r="J604" s="56">
        <v>2.0</v>
      </c>
      <c r="K604" s="60">
        <f t="shared" si="2"/>
        <v>7200</v>
      </c>
      <c r="L604" s="39"/>
      <c r="M604" s="59">
        <f t="shared" si="3"/>
        <v>0</v>
      </c>
      <c r="N604" s="69">
        <v>9.5</v>
      </c>
      <c r="O604" s="62">
        <f t="shared" si="4"/>
        <v>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4">
        <v>597.0</v>
      </c>
      <c r="C605" s="56" t="s">
        <v>645</v>
      </c>
      <c r="D605" s="67">
        <v>6000.0</v>
      </c>
      <c r="E605" s="56">
        <v>4.0</v>
      </c>
      <c r="F605" s="59">
        <f t="shared" si="6"/>
        <v>24000</v>
      </c>
      <c r="G605" s="56">
        <v>4.0</v>
      </c>
      <c r="H605" s="59">
        <f t="shared" si="1"/>
        <v>24000</v>
      </c>
      <c r="I605" s="39"/>
      <c r="J605" s="39"/>
      <c r="K605" s="60">
        <f t="shared" si="2"/>
        <v>0</v>
      </c>
      <c r="L605" s="39"/>
      <c r="M605" s="59">
        <f t="shared" si="3"/>
        <v>0</v>
      </c>
      <c r="N605" s="69">
        <v>4.0</v>
      </c>
      <c r="O605" s="62">
        <f t="shared" si="4"/>
        <v>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4">
        <v>598.0</v>
      </c>
      <c r="C606" s="56" t="s">
        <v>646</v>
      </c>
      <c r="D606" s="67">
        <v>500000.0</v>
      </c>
      <c r="E606" s="56">
        <v>1.0</v>
      </c>
      <c r="F606" s="59">
        <f t="shared" si="6"/>
        <v>500000</v>
      </c>
      <c r="G606" s="56">
        <v>1.0</v>
      </c>
      <c r="H606" s="59">
        <f t="shared" si="1"/>
        <v>500000</v>
      </c>
      <c r="I606" s="39"/>
      <c r="J606" s="39"/>
      <c r="K606" s="60">
        <f t="shared" si="2"/>
        <v>0</v>
      </c>
      <c r="L606" s="39"/>
      <c r="M606" s="59">
        <f t="shared" si="3"/>
        <v>0</v>
      </c>
      <c r="N606" s="69">
        <v>1.0</v>
      </c>
      <c r="O606" s="62">
        <f t="shared" si="4"/>
        <v>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4">
        <v>599.0</v>
      </c>
      <c r="C607" s="56" t="s">
        <v>647</v>
      </c>
      <c r="D607" s="67">
        <v>26112.61</v>
      </c>
      <c r="E607" s="56">
        <v>12.0</v>
      </c>
      <c r="F607" s="59">
        <f t="shared" si="6"/>
        <v>313351.32</v>
      </c>
      <c r="G607" s="56">
        <v>12.0</v>
      </c>
      <c r="H607" s="59">
        <f t="shared" si="1"/>
        <v>313351.32</v>
      </c>
      <c r="I607" s="39"/>
      <c r="J607" s="39"/>
      <c r="K607" s="60">
        <f t="shared" si="2"/>
        <v>0</v>
      </c>
      <c r="L607" s="39"/>
      <c r="M607" s="59">
        <f t="shared" si="3"/>
        <v>0</v>
      </c>
      <c r="N607" s="69">
        <v>12.0</v>
      </c>
      <c r="O607" s="62">
        <f t="shared" si="4"/>
        <v>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4">
        <v>600.0</v>
      </c>
      <c r="C608" s="56" t="s">
        <v>648</v>
      </c>
      <c r="D608" s="67">
        <v>25000.0</v>
      </c>
      <c r="E608" s="56">
        <v>2.0</v>
      </c>
      <c r="F608" s="59">
        <f t="shared" si="6"/>
        <v>50000</v>
      </c>
      <c r="G608" s="56">
        <v>2.0</v>
      </c>
      <c r="H608" s="59">
        <f t="shared" si="1"/>
        <v>50000</v>
      </c>
      <c r="I608" s="39"/>
      <c r="J608" s="39"/>
      <c r="K608" s="60">
        <f t="shared" si="2"/>
        <v>0</v>
      </c>
      <c r="L608" s="39"/>
      <c r="M608" s="59">
        <f t="shared" si="3"/>
        <v>0</v>
      </c>
      <c r="N608" s="69">
        <v>2.0</v>
      </c>
      <c r="O608" s="62">
        <f t="shared" si="4"/>
        <v>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4">
        <v>601.0</v>
      </c>
      <c r="C609" s="56" t="s">
        <v>649</v>
      </c>
      <c r="D609" s="67">
        <v>1000.0</v>
      </c>
      <c r="E609" s="56">
        <v>38.0</v>
      </c>
      <c r="F609" s="59">
        <f t="shared" si="6"/>
        <v>38000</v>
      </c>
      <c r="G609" s="56">
        <v>38.0</v>
      </c>
      <c r="H609" s="59">
        <f t="shared" si="1"/>
        <v>38000</v>
      </c>
      <c r="I609" s="39"/>
      <c r="J609" s="39"/>
      <c r="K609" s="60">
        <f t="shared" si="2"/>
        <v>0</v>
      </c>
      <c r="L609" s="39"/>
      <c r="M609" s="59">
        <f t="shared" si="3"/>
        <v>0</v>
      </c>
      <c r="N609" s="69">
        <v>38.0</v>
      </c>
      <c r="O609" s="62">
        <f t="shared" si="4"/>
        <v>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4">
        <v>602.0</v>
      </c>
      <c r="C610" s="56" t="s">
        <v>650</v>
      </c>
      <c r="D610" s="67">
        <v>299000.0</v>
      </c>
      <c r="E610" s="56">
        <v>3.0</v>
      </c>
      <c r="F610" s="59">
        <f t="shared" si="6"/>
        <v>897000</v>
      </c>
      <c r="G610" s="56">
        <v>3.0</v>
      </c>
      <c r="H610" s="59">
        <f t="shared" si="1"/>
        <v>897000</v>
      </c>
      <c r="I610" s="39"/>
      <c r="J610" s="39"/>
      <c r="K610" s="60">
        <f t="shared" si="2"/>
        <v>0</v>
      </c>
      <c r="L610" s="39"/>
      <c r="M610" s="59">
        <f t="shared" si="3"/>
        <v>0</v>
      </c>
      <c r="N610" s="69">
        <v>3.0</v>
      </c>
      <c r="O610" s="62">
        <f t="shared" si="4"/>
        <v>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4">
        <v>603.0</v>
      </c>
      <c r="C611" s="56" t="s">
        <v>651</v>
      </c>
      <c r="D611" s="67">
        <v>495000.0</v>
      </c>
      <c r="E611" s="56">
        <v>3.0</v>
      </c>
      <c r="F611" s="59">
        <f t="shared" si="6"/>
        <v>1485000</v>
      </c>
      <c r="G611" s="56">
        <v>3.0</v>
      </c>
      <c r="H611" s="59">
        <f t="shared" si="1"/>
        <v>1485000</v>
      </c>
      <c r="I611" s="39"/>
      <c r="J611" s="39"/>
      <c r="K611" s="60">
        <f t="shared" si="2"/>
        <v>0</v>
      </c>
      <c r="L611" s="39"/>
      <c r="M611" s="59">
        <f t="shared" si="3"/>
        <v>0</v>
      </c>
      <c r="N611" s="69">
        <v>3.0</v>
      </c>
      <c r="O611" s="62">
        <f t="shared" si="4"/>
        <v>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4">
        <v>604.0</v>
      </c>
      <c r="C612" s="56" t="s">
        <v>652</v>
      </c>
      <c r="D612" s="70"/>
      <c r="E612" s="56">
        <v>10.0</v>
      </c>
      <c r="F612" s="59">
        <f t="shared" si="6"/>
        <v>0</v>
      </c>
      <c r="G612" s="56">
        <v>10.0</v>
      </c>
      <c r="H612" s="59">
        <f t="shared" si="1"/>
        <v>0</v>
      </c>
      <c r="I612" s="39"/>
      <c r="J612" s="39"/>
      <c r="K612" s="60">
        <f t="shared" si="2"/>
        <v>0</v>
      </c>
      <c r="L612" s="39"/>
      <c r="M612" s="59">
        <f t="shared" si="3"/>
        <v>0</v>
      </c>
      <c r="N612" s="69">
        <v>10.0</v>
      </c>
      <c r="O612" s="62">
        <f t="shared" si="4"/>
        <v>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4">
        <v>605.0</v>
      </c>
      <c r="C613" s="56" t="s">
        <v>653</v>
      </c>
      <c r="D613" s="67">
        <v>7000.0</v>
      </c>
      <c r="E613" s="56">
        <v>7.0</v>
      </c>
      <c r="F613" s="59">
        <f t="shared" si="6"/>
        <v>49000</v>
      </c>
      <c r="G613" s="56">
        <v>7.0</v>
      </c>
      <c r="H613" s="59">
        <f t="shared" si="1"/>
        <v>49000</v>
      </c>
      <c r="I613" s="39"/>
      <c r="J613" s="39"/>
      <c r="K613" s="60">
        <f t="shared" si="2"/>
        <v>0</v>
      </c>
      <c r="L613" s="39"/>
      <c r="M613" s="59">
        <f t="shared" si="3"/>
        <v>0</v>
      </c>
      <c r="N613" s="69">
        <v>7.0</v>
      </c>
      <c r="O613" s="62">
        <f t="shared" si="4"/>
        <v>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4">
        <v>606.0</v>
      </c>
      <c r="C614" s="56" t="s">
        <v>654</v>
      </c>
      <c r="D614" s="67">
        <v>7000.0</v>
      </c>
      <c r="E614" s="56">
        <v>5.0</v>
      </c>
      <c r="F614" s="59">
        <f t="shared" si="6"/>
        <v>35000</v>
      </c>
      <c r="G614" s="56">
        <v>5.0</v>
      </c>
      <c r="H614" s="59">
        <f t="shared" si="1"/>
        <v>35000</v>
      </c>
      <c r="I614" s="39"/>
      <c r="J614" s="39"/>
      <c r="K614" s="60">
        <f t="shared" si="2"/>
        <v>0</v>
      </c>
      <c r="L614" s="39"/>
      <c r="M614" s="59">
        <f t="shared" si="3"/>
        <v>0</v>
      </c>
      <c r="N614" s="69">
        <v>5.0</v>
      </c>
      <c r="O614" s="62">
        <f t="shared" si="4"/>
        <v>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4">
        <v>607.0</v>
      </c>
      <c r="C615" s="56" t="s">
        <v>655</v>
      </c>
      <c r="D615" s="67">
        <v>7000.0</v>
      </c>
      <c r="E615" s="56">
        <v>2.0</v>
      </c>
      <c r="F615" s="59">
        <f t="shared" si="6"/>
        <v>14000</v>
      </c>
      <c r="G615" s="56">
        <v>2.0</v>
      </c>
      <c r="H615" s="59">
        <f t="shared" si="1"/>
        <v>14000</v>
      </c>
      <c r="I615" s="39"/>
      <c r="J615" s="39"/>
      <c r="K615" s="60">
        <f t="shared" si="2"/>
        <v>0</v>
      </c>
      <c r="L615" s="39"/>
      <c r="M615" s="59">
        <f t="shared" si="3"/>
        <v>0</v>
      </c>
      <c r="N615" s="69">
        <v>2.0</v>
      </c>
      <c r="O615" s="62">
        <f t="shared" si="4"/>
        <v>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4">
        <v>608.0</v>
      </c>
      <c r="C616" s="56" t="s">
        <v>656</v>
      </c>
      <c r="D616" s="67">
        <v>18500.0</v>
      </c>
      <c r="E616" s="56">
        <v>6.0</v>
      </c>
      <c r="F616" s="59">
        <f t="shared" si="6"/>
        <v>111000</v>
      </c>
      <c r="G616" s="56">
        <v>6.0</v>
      </c>
      <c r="H616" s="59">
        <f t="shared" si="1"/>
        <v>111000</v>
      </c>
      <c r="I616" s="39"/>
      <c r="J616" s="39"/>
      <c r="K616" s="60">
        <f t="shared" si="2"/>
        <v>0</v>
      </c>
      <c r="L616" s="39"/>
      <c r="M616" s="59">
        <f t="shared" si="3"/>
        <v>0</v>
      </c>
      <c r="N616" s="69">
        <v>6.0</v>
      </c>
      <c r="O616" s="62">
        <f t="shared" si="4"/>
        <v>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4">
        <v>609.0</v>
      </c>
      <c r="C617" s="56" t="s">
        <v>657</v>
      </c>
      <c r="D617" s="67">
        <v>2000.0</v>
      </c>
      <c r="E617" s="56">
        <v>4.0</v>
      </c>
      <c r="F617" s="59">
        <f t="shared" si="6"/>
        <v>8000</v>
      </c>
      <c r="G617" s="56">
        <v>4.0</v>
      </c>
      <c r="H617" s="59">
        <f t="shared" si="1"/>
        <v>8000</v>
      </c>
      <c r="I617" s="39"/>
      <c r="J617" s="39"/>
      <c r="K617" s="60">
        <f t="shared" si="2"/>
        <v>0</v>
      </c>
      <c r="L617" s="39"/>
      <c r="M617" s="59">
        <f t="shared" si="3"/>
        <v>0</v>
      </c>
      <c r="N617" s="69">
        <v>4.0</v>
      </c>
      <c r="O617" s="62">
        <f t="shared" si="4"/>
        <v>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4">
        <v>610.0</v>
      </c>
      <c r="C618" s="56" t="s">
        <v>658</v>
      </c>
      <c r="D618" s="67">
        <v>9000.0</v>
      </c>
      <c r="E618" s="56">
        <v>14.0</v>
      </c>
      <c r="F618" s="59">
        <f t="shared" si="6"/>
        <v>126000</v>
      </c>
      <c r="G618" s="56">
        <v>14.0</v>
      </c>
      <c r="H618" s="59">
        <f t="shared" si="1"/>
        <v>126000</v>
      </c>
      <c r="I618" s="39"/>
      <c r="J618" s="39"/>
      <c r="K618" s="60">
        <f t="shared" si="2"/>
        <v>0</v>
      </c>
      <c r="L618" s="39"/>
      <c r="M618" s="59">
        <f t="shared" si="3"/>
        <v>0</v>
      </c>
      <c r="N618" s="69">
        <v>14.0</v>
      </c>
      <c r="O618" s="62">
        <f t="shared" si="4"/>
        <v>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4">
        <v>611.0</v>
      </c>
      <c r="C619" s="56" t="s">
        <v>659</v>
      </c>
      <c r="D619" s="67">
        <v>3500.0</v>
      </c>
      <c r="E619" s="56">
        <v>4.0</v>
      </c>
      <c r="F619" s="59">
        <f t="shared" si="6"/>
        <v>14000</v>
      </c>
      <c r="G619" s="56">
        <v>2.0</v>
      </c>
      <c r="H619" s="59">
        <f t="shared" si="1"/>
        <v>7000</v>
      </c>
      <c r="I619" s="39"/>
      <c r="J619" s="56">
        <v>2.0</v>
      </c>
      <c r="K619" s="60">
        <f t="shared" si="2"/>
        <v>7000</v>
      </c>
      <c r="L619" s="39"/>
      <c r="M619" s="59">
        <f t="shared" si="3"/>
        <v>0</v>
      </c>
      <c r="N619" s="69">
        <v>2.0</v>
      </c>
      <c r="O619" s="62">
        <f t="shared" si="4"/>
        <v>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4">
        <v>612.0</v>
      </c>
      <c r="C620" s="56" t="s">
        <v>660</v>
      </c>
      <c r="D620" s="67">
        <v>12000.0</v>
      </c>
      <c r="E620" s="56">
        <v>5.0</v>
      </c>
      <c r="F620" s="59">
        <f t="shared" si="6"/>
        <v>60000</v>
      </c>
      <c r="G620" s="56">
        <v>5.0</v>
      </c>
      <c r="H620" s="59">
        <f t="shared" si="1"/>
        <v>60000</v>
      </c>
      <c r="I620" s="39"/>
      <c r="J620" s="39"/>
      <c r="K620" s="60">
        <f t="shared" si="2"/>
        <v>0</v>
      </c>
      <c r="L620" s="39"/>
      <c r="M620" s="59">
        <f t="shared" si="3"/>
        <v>0</v>
      </c>
      <c r="N620" s="69">
        <v>5.0</v>
      </c>
      <c r="O620" s="62">
        <f t="shared" si="4"/>
        <v>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4">
        <v>613.0</v>
      </c>
      <c r="C621" s="56" t="s">
        <v>661</v>
      </c>
      <c r="D621" s="67">
        <v>12000.0</v>
      </c>
      <c r="E621" s="56">
        <v>3.0</v>
      </c>
      <c r="F621" s="59">
        <f t="shared" si="6"/>
        <v>36000</v>
      </c>
      <c r="G621" s="56">
        <v>3.0</v>
      </c>
      <c r="H621" s="59">
        <f t="shared" si="1"/>
        <v>36000</v>
      </c>
      <c r="I621" s="39"/>
      <c r="J621" s="39"/>
      <c r="K621" s="60">
        <f t="shared" si="2"/>
        <v>0</v>
      </c>
      <c r="L621" s="39"/>
      <c r="M621" s="59">
        <f t="shared" si="3"/>
        <v>0</v>
      </c>
      <c r="N621" s="69">
        <v>3.0</v>
      </c>
      <c r="O621" s="62">
        <f t="shared" si="4"/>
        <v>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4">
        <v>614.0</v>
      </c>
      <c r="C622" s="56" t="s">
        <v>662</v>
      </c>
      <c r="D622" s="67">
        <v>25000.0</v>
      </c>
      <c r="E622" s="56">
        <v>9.0</v>
      </c>
      <c r="F622" s="59">
        <f t="shared" si="6"/>
        <v>225000</v>
      </c>
      <c r="G622" s="56">
        <v>9.0</v>
      </c>
      <c r="H622" s="59">
        <f t="shared" si="1"/>
        <v>225000</v>
      </c>
      <c r="I622" s="39"/>
      <c r="J622" s="39"/>
      <c r="K622" s="60">
        <f t="shared" si="2"/>
        <v>0</v>
      </c>
      <c r="L622" s="39"/>
      <c r="M622" s="59">
        <f t="shared" si="3"/>
        <v>0</v>
      </c>
      <c r="N622" s="69">
        <v>9.0</v>
      </c>
      <c r="O622" s="62">
        <f t="shared" si="4"/>
        <v>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4">
        <v>615.0</v>
      </c>
      <c r="C623" s="56" t="s">
        <v>663</v>
      </c>
      <c r="D623" s="67">
        <v>142092.79</v>
      </c>
      <c r="E623" s="56">
        <v>7.0</v>
      </c>
      <c r="F623" s="59">
        <f t="shared" si="6"/>
        <v>994649.53</v>
      </c>
      <c r="G623" s="56">
        <v>7.0</v>
      </c>
      <c r="H623" s="59">
        <f t="shared" si="1"/>
        <v>994649.53</v>
      </c>
      <c r="I623" s="39"/>
      <c r="J623" s="39"/>
      <c r="K623" s="60">
        <f t="shared" si="2"/>
        <v>0</v>
      </c>
      <c r="L623" s="39"/>
      <c r="M623" s="59">
        <f t="shared" si="3"/>
        <v>0</v>
      </c>
      <c r="N623" s="69">
        <v>7.0</v>
      </c>
      <c r="O623" s="62">
        <f t="shared" si="4"/>
        <v>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4">
        <v>616.0</v>
      </c>
      <c r="C624" s="56" t="s">
        <v>664</v>
      </c>
      <c r="D624" s="67">
        <v>1576.58</v>
      </c>
      <c r="E624" s="56">
        <v>2.0</v>
      </c>
      <c r="F624" s="59">
        <f t="shared" si="6"/>
        <v>3153.16</v>
      </c>
      <c r="G624" s="56">
        <v>2.0</v>
      </c>
      <c r="H624" s="59">
        <f t="shared" si="1"/>
        <v>3153.16</v>
      </c>
      <c r="I624" s="39"/>
      <c r="J624" s="39"/>
      <c r="K624" s="60">
        <f t="shared" si="2"/>
        <v>0</v>
      </c>
      <c r="L624" s="39"/>
      <c r="M624" s="59">
        <f t="shared" si="3"/>
        <v>0</v>
      </c>
      <c r="N624" s="69">
        <v>2.0</v>
      </c>
      <c r="O624" s="62">
        <f t="shared" si="4"/>
        <v>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4">
        <v>617.0</v>
      </c>
      <c r="C625" s="56" t="s">
        <v>665</v>
      </c>
      <c r="D625" s="67">
        <v>2027.03</v>
      </c>
      <c r="E625" s="56">
        <v>0.0</v>
      </c>
      <c r="F625" s="59">
        <f t="shared" si="6"/>
        <v>0</v>
      </c>
      <c r="G625" s="56">
        <v>0.0</v>
      </c>
      <c r="H625" s="59">
        <f t="shared" si="1"/>
        <v>0</v>
      </c>
      <c r="I625" s="39"/>
      <c r="J625" s="39"/>
      <c r="K625" s="60">
        <f t="shared" si="2"/>
        <v>0</v>
      </c>
      <c r="L625" s="39"/>
      <c r="M625" s="59">
        <f t="shared" si="3"/>
        <v>0</v>
      </c>
      <c r="N625" s="69">
        <v>0.0</v>
      </c>
      <c r="O625" s="62">
        <f t="shared" si="4"/>
        <v>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4">
        <v>618.0</v>
      </c>
      <c r="C626" s="56" t="s">
        <v>666</v>
      </c>
      <c r="D626" s="67">
        <v>8400.0</v>
      </c>
      <c r="E626" s="56">
        <v>38.0</v>
      </c>
      <c r="F626" s="59">
        <f t="shared" si="6"/>
        <v>319200</v>
      </c>
      <c r="G626" s="56">
        <v>38.0</v>
      </c>
      <c r="H626" s="59">
        <f t="shared" si="1"/>
        <v>319200</v>
      </c>
      <c r="I626" s="39"/>
      <c r="J626" s="39"/>
      <c r="K626" s="60">
        <f t="shared" si="2"/>
        <v>0</v>
      </c>
      <c r="L626" s="39"/>
      <c r="M626" s="59">
        <f t="shared" si="3"/>
        <v>0</v>
      </c>
      <c r="N626" s="69">
        <v>38.0</v>
      </c>
      <c r="O626" s="62">
        <f t="shared" si="4"/>
        <v>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4">
        <v>619.0</v>
      </c>
      <c r="C627" s="56" t="s">
        <v>667</v>
      </c>
      <c r="D627" s="67">
        <v>9000.0</v>
      </c>
      <c r="E627" s="56">
        <v>6.0</v>
      </c>
      <c r="F627" s="59">
        <f t="shared" si="6"/>
        <v>54000</v>
      </c>
      <c r="G627" s="56">
        <v>6.0</v>
      </c>
      <c r="H627" s="59">
        <f t="shared" si="1"/>
        <v>54000</v>
      </c>
      <c r="I627" s="39"/>
      <c r="J627" s="39"/>
      <c r="K627" s="60">
        <f t="shared" si="2"/>
        <v>0</v>
      </c>
      <c r="L627" s="39"/>
      <c r="M627" s="59">
        <f t="shared" si="3"/>
        <v>0</v>
      </c>
      <c r="N627" s="69">
        <v>6.0</v>
      </c>
      <c r="O627" s="62">
        <f t="shared" si="4"/>
        <v>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4">
        <v>620.0</v>
      </c>
      <c r="C628" s="56" t="s">
        <v>668</v>
      </c>
      <c r="D628" s="67">
        <v>1000.0</v>
      </c>
      <c r="E628" s="56">
        <v>73.0</v>
      </c>
      <c r="F628" s="59">
        <f t="shared" si="6"/>
        <v>73000</v>
      </c>
      <c r="G628" s="56">
        <v>73.0</v>
      </c>
      <c r="H628" s="59">
        <f t="shared" si="1"/>
        <v>73000</v>
      </c>
      <c r="I628" s="39"/>
      <c r="J628" s="39"/>
      <c r="K628" s="60">
        <f t="shared" si="2"/>
        <v>0</v>
      </c>
      <c r="L628" s="39"/>
      <c r="M628" s="59">
        <f t="shared" si="3"/>
        <v>0</v>
      </c>
      <c r="N628" s="69">
        <v>73.0</v>
      </c>
      <c r="O628" s="62">
        <f t="shared" si="4"/>
        <v>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4">
        <v>621.0</v>
      </c>
      <c r="C629" s="56" t="s">
        <v>669</v>
      </c>
      <c r="D629" s="67">
        <v>105500.0</v>
      </c>
      <c r="E629" s="56">
        <v>30.0</v>
      </c>
      <c r="F629" s="59">
        <f t="shared" si="6"/>
        <v>3165000</v>
      </c>
      <c r="G629" s="56">
        <v>30.0</v>
      </c>
      <c r="H629" s="59">
        <f t="shared" si="1"/>
        <v>3165000</v>
      </c>
      <c r="I629" s="39"/>
      <c r="J629" s="39"/>
      <c r="K629" s="60">
        <f t="shared" si="2"/>
        <v>0</v>
      </c>
      <c r="L629" s="39"/>
      <c r="M629" s="59">
        <f t="shared" si="3"/>
        <v>0</v>
      </c>
      <c r="N629" s="69">
        <v>30.0</v>
      </c>
      <c r="O629" s="62">
        <f t="shared" si="4"/>
        <v>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4">
        <v>622.0</v>
      </c>
      <c r="C630" s="56" t="s">
        <v>670</v>
      </c>
      <c r="D630" s="67">
        <v>125500.0</v>
      </c>
      <c r="E630" s="56">
        <v>1.0</v>
      </c>
      <c r="F630" s="59">
        <f t="shared" si="6"/>
        <v>125500</v>
      </c>
      <c r="G630" s="56">
        <v>39.0</v>
      </c>
      <c r="H630" s="59">
        <f t="shared" si="1"/>
        <v>4894500</v>
      </c>
      <c r="I630" s="39"/>
      <c r="J630" s="39"/>
      <c r="K630" s="60">
        <f t="shared" si="2"/>
        <v>0</v>
      </c>
      <c r="L630" s="56">
        <v>38.0</v>
      </c>
      <c r="M630" s="59">
        <f t="shared" si="3"/>
        <v>4769000</v>
      </c>
      <c r="N630" s="69">
        <v>39.0</v>
      </c>
      <c r="O630" s="62">
        <f t="shared" si="4"/>
        <v>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4">
        <v>623.0</v>
      </c>
      <c r="C631" s="56" t="s">
        <v>671</v>
      </c>
      <c r="D631" s="67">
        <v>137500.0</v>
      </c>
      <c r="E631" s="56">
        <v>3.0</v>
      </c>
      <c r="F631" s="59">
        <f t="shared" si="6"/>
        <v>412500</v>
      </c>
      <c r="G631" s="56">
        <v>3.0</v>
      </c>
      <c r="H631" s="59">
        <f t="shared" si="1"/>
        <v>412500</v>
      </c>
      <c r="I631" s="39"/>
      <c r="J631" s="39"/>
      <c r="K631" s="60">
        <f t="shared" si="2"/>
        <v>0</v>
      </c>
      <c r="L631" s="39"/>
      <c r="M631" s="59">
        <f t="shared" si="3"/>
        <v>0</v>
      </c>
      <c r="N631" s="69">
        <v>3.0</v>
      </c>
      <c r="O631" s="62">
        <f t="shared" si="4"/>
        <v>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4">
        <v>624.0</v>
      </c>
      <c r="C632" s="56" t="s">
        <v>672</v>
      </c>
      <c r="D632" s="67">
        <v>151500.0</v>
      </c>
      <c r="E632" s="56">
        <v>3.0</v>
      </c>
      <c r="F632" s="59">
        <f t="shared" si="6"/>
        <v>454500</v>
      </c>
      <c r="G632" s="56">
        <v>3.0</v>
      </c>
      <c r="H632" s="59">
        <f t="shared" si="1"/>
        <v>454500</v>
      </c>
      <c r="I632" s="39"/>
      <c r="J632" s="39"/>
      <c r="K632" s="60">
        <f t="shared" si="2"/>
        <v>0</v>
      </c>
      <c r="L632" s="39"/>
      <c r="M632" s="59">
        <f t="shared" si="3"/>
        <v>0</v>
      </c>
      <c r="N632" s="69">
        <v>3.0</v>
      </c>
      <c r="O632" s="62">
        <f t="shared" si="4"/>
        <v>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4">
        <v>625.0</v>
      </c>
      <c r="C633" s="56" t="s">
        <v>673</v>
      </c>
      <c r="D633" s="67">
        <v>165000.0</v>
      </c>
      <c r="E633" s="56">
        <v>1.0</v>
      </c>
      <c r="F633" s="59">
        <f t="shared" si="6"/>
        <v>165000</v>
      </c>
      <c r="G633" s="56">
        <v>1.0</v>
      </c>
      <c r="H633" s="59">
        <f t="shared" si="1"/>
        <v>165000</v>
      </c>
      <c r="I633" s="39"/>
      <c r="J633" s="39"/>
      <c r="K633" s="60">
        <f t="shared" si="2"/>
        <v>0</v>
      </c>
      <c r="L633" s="39"/>
      <c r="M633" s="59">
        <f t="shared" si="3"/>
        <v>0</v>
      </c>
      <c r="N633" s="69">
        <v>1.0</v>
      </c>
      <c r="O633" s="62">
        <f t="shared" si="4"/>
        <v>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4">
        <v>626.0</v>
      </c>
      <c r="C634" s="56" t="s">
        <v>674</v>
      </c>
      <c r="D634" s="67">
        <v>11700.0</v>
      </c>
      <c r="E634" s="56">
        <v>52.0</v>
      </c>
      <c r="F634" s="59">
        <f t="shared" si="6"/>
        <v>608400</v>
      </c>
      <c r="G634" s="56">
        <v>47.0</v>
      </c>
      <c r="H634" s="59">
        <f t="shared" si="1"/>
        <v>549900</v>
      </c>
      <c r="I634" s="39"/>
      <c r="J634" s="56">
        <v>5.0</v>
      </c>
      <c r="K634" s="60">
        <f t="shared" si="2"/>
        <v>58500</v>
      </c>
      <c r="L634" s="39"/>
      <c r="M634" s="59">
        <f t="shared" si="3"/>
        <v>0</v>
      </c>
      <c r="N634" s="69">
        <v>47.0</v>
      </c>
      <c r="O634" s="62">
        <f t="shared" si="4"/>
        <v>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4">
        <v>627.0</v>
      </c>
      <c r="C635" s="56" t="s">
        <v>675</v>
      </c>
      <c r="D635" s="67">
        <v>15000.0</v>
      </c>
      <c r="E635" s="56">
        <v>7.0</v>
      </c>
      <c r="F635" s="59">
        <f t="shared" si="6"/>
        <v>105000</v>
      </c>
      <c r="G635" s="56">
        <v>7.0</v>
      </c>
      <c r="H635" s="59">
        <f t="shared" si="1"/>
        <v>105000</v>
      </c>
      <c r="I635" s="39"/>
      <c r="J635" s="39"/>
      <c r="K635" s="60">
        <f t="shared" si="2"/>
        <v>0</v>
      </c>
      <c r="L635" s="39"/>
      <c r="M635" s="59">
        <f t="shared" si="3"/>
        <v>0</v>
      </c>
      <c r="N635" s="69">
        <v>7.0</v>
      </c>
      <c r="O635" s="62">
        <f t="shared" si="4"/>
        <v>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4">
        <v>628.0</v>
      </c>
      <c r="C636" s="56" t="s">
        <v>676</v>
      </c>
      <c r="D636" s="67">
        <v>20000.0</v>
      </c>
      <c r="E636" s="56">
        <v>1.0</v>
      </c>
      <c r="F636" s="59">
        <f t="shared" si="6"/>
        <v>20000</v>
      </c>
      <c r="G636" s="56">
        <v>1.0</v>
      </c>
      <c r="H636" s="59">
        <f t="shared" si="1"/>
        <v>20000</v>
      </c>
      <c r="I636" s="39"/>
      <c r="J636" s="39"/>
      <c r="K636" s="60">
        <f t="shared" si="2"/>
        <v>0</v>
      </c>
      <c r="L636" s="39"/>
      <c r="M636" s="59">
        <f t="shared" si="3"/>
        <v>0</v>
      </c>
      <c r="N636" s="69">
        <v>1.0</v>
      </c>
      <c r="O636" s="62">
        <f t="shared" si="4"/>
        <v>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4">
        <v>629.0</v>
      </c>
      <c r="C637" s="56" t="s">
        <v>677</v>
      </c>
      <c r="D637" s="67">
        <v>15765.77</v>
      </c>
      <c r="E637" s="56">
        <v>18.0</v>
      </c>
      <c r="F637" s="59">
        <f t="shared" si="6"/>
        <v>283783.86</v>
      </c>
      <c r="G637" s="56">
        <v>18.0</v>
      </c>
      <c r="H637" s="59">
        <f t="shared" si="1"/>
        <v>283783.86</v>
      </c>
      <c r="I637" s="39"/>
      <c r="J637" s="39"/>
      <c r="K637" s="60">
        <f t="shared" si="2"/>
        <v>0</v>
      </c>
      <c r="L637" s="39"/>
      <c r="M637" s="59">
        <f t="shared" si="3"/>
        <v>0</v>
      </c>
      <c r="N637" s="69">
        <v>18.0</v>
      </c>
      <c r="O637" s="62">
        <f t="shared" si="4"/>
        <v>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4">
        <v>630.0</v>
      </c>
      <c r="C638" s="56" t="s">
        <v>678</v>
      </c>
      <c r="D638" s="67">
        <v>1000.0</v>
      </c>
      <c r="E638" s="56">
        <v>38.0</v>
      </c>
      <c r="F638" s="59">
        <f t="shared" si="6"/>
        <v>38000</v>
      </c>
      <c r="G638" s="56">
        <v>38.0</v>
      </c>
      <c r="H638" s="59">
        <f t="shared" si="1"/>
        <v>38000</v>
      </c>
      <c r="I638" s="39"/>
      <c r="J638" s="39"/>
      <c r="K638" s="60">
        <f t="shared" si="2"/>
        <v>0</v>
      </c>
      <c r="L638" s="39"/>
      <c r="M638" s="59">
        <f t="shared" si="3"/>
        <v>0</v>
      </c>
      <c r="N638" s="69">
        <v>38.0</v>
      </c>
      <c r="O638" s="62">
        <f t="shared" si="4"/>
        <v>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4">
        <v>631.0</v>
      </c>
      <c r="C639" s="56" t="s">
        <v>679</v>
      </c>
      <c r="D639" s="67">
        <v>10000.0</v>
      </c>
      <c r="E639" s="56">
        <v>3.0</v>
      </c>
      <c r="F639" s="59">
        <f t="shared" si="6"/>
        <v>30000</v>
      </c>
      <c r="G639" s="56">
        <v>3.0</v>
      </c>
      <c r="H639" s="59">
        <f t="shared" si="1"/>
        <v>30000</v>
      </c>
      <c r="I639" s="39"/>
      <c r="J639" s="39"/>
      <c r="K639" s="60">
        <f t="shared" si="2"/>
        <v>0</v>
      </c>
      <c r="L639" s="39"/>
      <c r="M639" s="59">
        <f t="shared" si="3"/>
        <v>0</v>
      </c>
      <c r="N639" s="69">
        <v>3.0</v>
      </c>
      <c r="O639" s="62">
        <f t="shared" si="4"/>
        <v>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4">
        <v>632.0</v>
      </c>
      <c r="C640" s="56" t="s">
        <v>680</v>
      </c>
      <c r="D640" s="67">
        <v>147795.5</v>
      </c>
      <c r="E640" s="56">
        <v>22.0</v>
      </c>
      <c r="F640" s="59">
        <f t="shared" si="6"/>
        <v>3251501</v>
      </c>
      <c r="G640" s="56">
        <v>22.0</v>
      </c>
      <c r="H640" s="59">
        <f t="shared" si="1"/>
        <v>3251501</v>
      </c>
      <c r="I640" s="39"/>
      <c r="J640" s="39"/>
      <c r="K640" s="60">
        <f t="shared" si="2"/>
        <v>0</v>
      </c>
      <c r="L640" s="39"/>
      <c r="M640" s="59">
        <f t="shared" si="3"/>
        <v>0</v>
      </c>
      <c r="N640" s="69">
        <v>22.0</v>
      </c>
      <c r="O640" s="62">
        <f t="shared" si="4"/>
        <v>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4">
        <v>633.0</v>
      </c>
      <c r="C641" s="56" t="s">
        <v>681</v>
      </c>
      <c r="D641" s="67">
        <v>114529.73</v>
      </c>
      <c r="E641" s="56">
        <v>9.0</v>
      </c>
      <c r="F641" s="59">
        <f t="shared" si="6"/>
        <v>1030767.57</v>
      </c>
      <c r="G641" s="56">
        <v>9.0</v>
      </c>
      <c r="H641" s="59">
        <f t="shared" si="1"/>
        <v>1030767.57</v>
      </c>
      <c r="I641" s="39"/>
      <c r="J641" s="39"/>
      <c r="K641" s="60">
        <f t="shared" si="2"/>
        <v>0</v>
      </c>
      <c r="L641" s="39"/>
      <c r="M641" s="59">
        <f t="shared" si="3"/>
        <v>0</v>
      </c>
      <c r="N641" s="69">
        <v>9.0</v>
      </c>
      <c r="O641" s="62">
        <f t="shared" si="4"/>
        <v>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4">
        <v>634.0</v>
      </c>
      <c r="C642" s="56" t="s">
        <v>682</v>
      </c>
      <c r="D642" s="67">
        <v>96471.17</v>
      </c>
      <c r="E642" s="56">
        <v>117.0</v>
      </c>
      <c r="F642" s="59">
        <f t="shared" si="6"/>
        <v>11287126.89</v>
      </c>
      <c r="G642" s="56">
        <v>117.0</v>
      </c>
      <c r="H642" s="59">
        <f t="shared" si="1"/>
        <v>11287126.89</v>
      </c>
      <c r="I642" s="39"/>
      <c r="J642" s="39"/>
      <c r="K642" s="60">
        <f t="shared" si="2"/>
        <v>0</v>
      </c>
      <c r="L642" s="39"/>
      <c r="M642" s="59">
        <f t="shared" si="3"/>
        <v>0</v>
      </c>
      <c r="N642" s="69">
        <v>117.0</v>
      </c>
      <c r="O642" s="62">
        <f t="shared" si="4"/>
        <v>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4">
        <v>635.0</v>
      </c>
      <c r="C643" s="56" t="s">
        <v>683</v>
      </c>
      <c r="D643" s="67">
        <v>50000.0</v>
      </c>
      <c r="E643" s="56">
        <v>1.0</v>
      </c>
      <c r="F643" s="59">
        <f t="shared" si="6"/>
        <v>50000</v>
      </c>
      <c r="G643" s="56">
        <v>1.0</v>
      </c>
      <c r="H643" s="59">
        <f t="shared" si="1"/>
        <v>50000</v>
      </c>
      <c r="I643" s="39"/>
      <c r="J643" s="39"/>
      <c r="K643" s="60">
        <f t="shared" si="2"/>
        <v>0</v>
      </c>
      <c r="L643" s="39"/>
      <c r="M643" s="59">
        <f t="shared" si="3"/>
        <v>0</v>
      </c>
      <c r="N643" s="69">
        <v>1.0</v>
      </c>
      <c r="O643" s="62">
        <f t="shared" si="4"/>
        <v>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4">
        <v>636.0</v>
      </c>
      <c r="C644" s="56" t="s">
        <v>684</v>
      </c>
      <c r="D644" s="67">
        <v>85.0</v>
      </c>
      <c r="E644" s="56">
        <v>6.0</v>
      </c>
      <c r="F644" s="59">
        <f t="shared" si="6"/>
        <v>510</v>
      </c>
      <c r="G644" s="56">
        <v>6.0</v>
      </c>
      <c r="H644" s="59">
        <f t="shared" si="1"/>
        <v>510</v>
      </c>
      <c r="I644" s="39"/>
      <c r="J644" s="39"/>
      <c r="K644" s="60">
        <f t="shared" si="2"/>
        <v>0</v>
      </c>
      <c r="L644" s="39"/>
      <c r="M644" s="59">
        <f t="shared" si="3"/>
        <v>0</v>
      </c>
      <c r="N644" s="69">
        <v>6.0</v>
      </c>
      <c r="O644" s="62">
        <f t="shared" si="4"/>
        <v>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4">
        <v>637.0</v>
      </c>
      <c r="C645" s="56" t="s">
        <v>685</v>
      </c>
      <c r="D645" s="67">
        <v>85.0</v>
      </c>
      <c r="E645" s="56">
        <v>5500.0</v>
      </c>
      <c r="F645" s="59">
        <f t="shared" si="6"/>
        <v>467500</v>
      </c>
      <c r="G645" s="56">
        <v>5500.0</v>
      </c>
      <c r="H645" s="59">
        <f t="shared" si="1"/>
        <v>467500</v>
      </c>
      <c r="I645" s="39"/>
      <c r="J645" s="39"/>
      <c r="K645" s="60">
        <f t="shared" si="2"/>
        <v>0</v>
      </c>
      <c r="L645" s="39"/>
      <c r="M645" s="59">
        <f t="shared" si="3"/>
        <v>0</v>
      </c>
      <c r="N645" s="69">
        <v>5500.0</v>
      </c>
      <c r="O645" s="62">
        <f t="shared" si="4"/>
        <v>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4">
        <v>638.0</v>
      </c>
      <c r="C646" s="56" t="s">
        <v>686</v>
      </c>
      <c r="D646" s="67">
        <v>15776.0</v>
      </c>
      <c r="E646" s="56">
        <v>154.0</v>
      </c>
      <c r="F646" s="59">
        <f t="shared" si="6"/>
        <v>2429504</v>
      </c>
      <c r="G646" s="56">
        <v>154.0</v>
      </c>
      <c r="H646" s="59">
        <f t="shared" si="1"/>
        <v>2429504</v>
      </c>
      <c r="I646" s="39"/>
      <c r="J646" s="39"/>
      <c r="K646" s="60">
        <f t="shared" si="2"/>
        <v>0</v>
      </c>
      <c r="L646" s="39"/>
      <c r="M646" s="59">
        <f t="shared" si="3"/>
        <v>0</v>
      </c>
      <c r="N646" s="69">
        <v>154.0</v>
      </c>
      <c r="O646" s="62">
        <f t="shared" si="4"/>
        <v>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4">
        <v>639.0</v>
      </c>
      <c r="C647" s="56" t="s">
        <v>687</v>
      </c>
      <c r="D647" s="67">
        <v>600000.0</v>
      </c>
      <c r="E647" s="56">
        <v>2.0</v>
      </c>
      <c r="F647" s="59">
        <f t="shared" si="6"/>
        <v>1200000</v>
      </c>
      <c r="G647" s="56">
        <v>2.0</v>
      </c>
      <c r="H647" s="59">
        <f t="shared" si="1"/>
        <v>1200000</v>
      </c>
      <c r="I647" s="39"/>
      <c r="J647" s="39"/>
      <c r="K647" s="60">
        <f t="shared" si="2"/>
        <v>0</v>
      </c>
      <c r="L647" s="39"/>
      <c r="M647" s="59">
        <f t="shared" si="3"/>
        <v>0</v>
      </c>
      <c r="N647" s="69">
        <v>2.0</v>
      </c>
      <c r="O647" s="62">
        <f t="shared" si="4"/>
        <v>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4">
        <v>640.0</v>
      </c>
      <c r="C648" s="56" t="s">
        <v>688</v>
      </c>
      <c r="D648" s="67">
        <v>210000.0</v>
      </c>
      <c r="E648" s="56">
        <v>1.0</v>
      </c>
      <c r="F648" s="59">
        <f t="shared" si="6"/>
        <v>210000</v>
      </c>
      <c r="G648" s="56">
        <v>1.0</v>
      </c>
      <c r="H648" s="59">
        <f t="shared" si="1"/>
        <v>210000</v>
      </c>
      <c r="I648" s="39"/>
      <c r="J648" s="39"/>
      <c r="K648" s="60">
        <f t="shared" si="2"/>
        <v>0</v>
      </c>
      <c r="L648" s="39"/>
      <c r="M648" s="59">
        <f t="shared" si="3"/>
        <v>0</v>
      </c>
      <c r="N648" s="69">
        <v>1.0</v>
      </c>
      <c r="O648" s="62">
        <f t="shared" si="4"/>
        <v>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4">
        <v>641.0</v>
      </c>
      <c r="C649" s="56" t="s">
        <v>689</v>
      </c>
      <c r="D649" s="67">
        <v>780000.0</v>
      </c>
      <c r="E649" s="56">
        <v>1.0</v>
      </c>
      <c r="F649" s="59">
        <f t="shared" si="6"/>
        <v>780000</v>
      </c>
      <c r="G649" s="56">
        <v>1.0</v>
      </c>
      <c r="H649" s="59">
        <f t="shared" si="1"/>
        <v>780000</v>
      </c>
      <c r="I649" s="39"/>
      <c r="J649" s="39"/>
      <c r="K649" s="60">
        <f t="shared" si="2"/>
        <v>0</v>
      </c>
      <c r="L649" s="39"/>
      <c r="M649" s="59">
        <f t="shared" si="3"/>
        <v>0</v>
      </c>
      <c r="N649" s="69">
        <v>1.0</v>
      </c>
      <c r="O649" s="62">
        <f t="shared" si="4"/>
        <v>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4">
        <v>642.0</v>
      </c>
      <c r="C650" s="56" t="s">
        <v>690</v>
      </c>
      <c r="D650" s="67">
        <v>50000.0</v>
      </c>
      <c r="E650" s="56">
        <v>5.0</v>
      </c>
      <c r="F650" s="59">
        <f t="shared" si="6"/>
        <v>250000</v>
      </c>
      <c r="G650" s="56">
        <v>5.0</v>
      </c>
      <c r="H650" s="59">
        <f t="shared" si="1"/>
        <v>250000</v>
      </c>
      <c r="I650" s="39"/>
      <c r="J650" s="39"/>
      <c r="K650" s="60">
        <f t="shared" si="2"/>
        <v>0</v>
      </c>
      <c r="L650" s="39"/>
      <c r="M650" s="59">
        <f t="shared" si="3"/>
        <v>0</v>
      </c>
      <c r="N650" s="69">
        <v>5.0</v>
      </c>
      <c r="O650" s="62">
        <f t="shared" si="4"/>
        <v>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4">
        <v>643.0</v>
      </c>
      <c r="C651" s="56" t="s">
        <v>691</v>
      </c>
      <c r="D651" s="67">
        <v>285000.0</v>
      </c>
      <c r="E651" s="56">
        <v>5.0</v>
      </c>
      <c r="F651" s="59">
        <f t="shared" si="6"/>
        <v>1425000</v>
      </c>
      <c r="G651" s="56">
        <v>5.0</v>
      </c>
      <c r="H651" s="59">
        <f t="shared" si="1"/>
        <v>1425000</v>
      </c>
      <c r="I651" s="39"/>
      <c r="J651" s="39"/>
      <c r="K651" s="60">
        <f t="shared" si="2"/>
        <v>0</v>
      </c>
      <c r="L651" s="39"/>
      <c r="M651" s="59">
        <f t="shared" si="3"/>
        <v>0</v>
      </c>
      <c r="N651" s="69">
        <v>5.0</v>
      </c>
      <c r="O651" s="62">
        <f t="shared" si="4"/>
        <v>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4">
        <v>644.0</v>
      </c>
      <c r="C652" s="56" t="s">
        <v>692</v>
      </c>
      <c r="D652" s="67">
        <v>70000.0</v>
      </c>
      <c r="E652" s="56">
        <v>4.0</v>
      </c>
      <c r="F652" s="59">
        <f t="shared" si="6"/>
        <v>280000</v>
      </c>
      <c r="G652" s="56">
        <v>4.0</v>
      </c>
      <c r="H652" s="59">
        <f t="shared" si="1"/>
        <v>280000</v>
      </c>
      <c r="I652" s="39"/>
      <c r="J652" s="39"/>
      <c r="K652" s="60">
        <f t="shared" si="2"/>
        <v>0</v>
      </c>
      <c r="L652" s="39"/>
      <c r="M652" s="59">
        <f t="shared" si="3"/>
        <v>0</v>
      </c>
      <c r="N652" s="69">
        <v>4.0</v>
      </c>
      <c r="O652" s="62">
        <f t="shared" si="4"/>
        <v>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4">
        <v>645.0</v>
      </c>
      <c r="C653" s="56" t="s">
        <v>693</v>
      </c>
      <c r="D653" s="67">
        <v>1000.0</v>
      </c>
      <c r="E653" s="56">
        <v>46.0</v>
      </c>
      <c r="F653" s="59">
        <f t="shared" si="6"/>
        <v>46000</v>
      </c>
      <c r="G653" s="56">
        <v>37.0</v>
      </c>
      <c r="H653" s="59">
        <f t="shared" si="1"/>
        <v>37000</v>
      </c>
      <c r="I653" s="39"/>
      <c r="J653" s="56">
        <v>9.0</v>
      </c>
      <c r="K653" s="60">
        <f t="shared" si="2"/>
        <v>9000</v>
      </c>
      <c r="L653" s="39"/>
      <c r="M653" s="59">
        <f t="shared" si="3"/>
        <v>0</v>
      </c>
      <c r="N653" s="69">
        <v>37.0</v>
      </c>
      <c r="O653" s="62">
        <f t="shared" si="4"/>
        <v>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4">
        <v>646.0</v>
      </c>
      <c r="C654" s="56" t="s">
        <v>694</v>
      </c>
      <c r="D654" s="67">
        <v>35.0</v>
      </c>
      <c r="E654" s="56">
        <v>44.0</v>
      </c>
      <c r="F654" s="59">
        <f t="shared" si="6"/>
        <v>1540</v>
      </c>
      <c r="G654" s="56">
        <v>44.0</v>
      </c>
      <c r="H654" s="59">
        <f t="shared" si="1"/>
        <v>1540</v>
      </c>
      <c r="I654" s="39"/>
      <c r="J654" s="39"/>
      <c r="K654" s="60">
        <f t="shared" si="2"/>
        <v>0</v>
      </c>
      <c r="L654" s="39"/>
      <c r="M654" s="59">
        <f t="shared" si="3"/>
        <v>0</v>
      </c>
      <c r="N654" s="69">
        <v>44.0</v>
      </c>
      <c r="O654" s="62">
        <f t="shared" si="4"/>
        <v>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4">
        <v>647.0</v>
      </c>
      <c r="C655" s="56" t="s">
        <v>695</v>
      </c>
      <c r="D655" s="67">
        <v>12500.0</v>
      </c>
      <c r="E655" s="56">
        <v>8.0</v>
      </c>
      <c r="F655" s="59">
        <f t="shared" si="6"/>
        <v>100000</v>
      </c>
      <c r="G655" s="56">
        <v>8.0</v>
      </c>
      <c r="H655" s="59">
        <f t="shared" si="1"/>
        <v>100000</v>
      </c>
      <c r="I655" s="39"/>
      <c r="J655" s="39"/>
      <c r="K655" s="60">
        <f t="shared" si="2"/>
        <v>0</v>
      </c>
      <c r="L655" s="39"/>
      <c r="M655" s="59">
        <f t="shared" si="3"/>
        <v>0</v>
      </c>
      <c r="N655" s="69">
        <v>8.0</v>
      </c>
      <c r="O655" s="62">
        <f t="shared" si="4"/>
        <v>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4">
        <v>648.0</v>
      </c>
      <c r="C656" s="56" t="s">
        <v>696</v>
      </c>
      <c r="D656" s="67">
        <v>2500.0</v>
      </c>
      <c r="E656" s="56">
        <v>12.0</v>
      </c>
      <c r="F656" s="59">
        <f t="shared" si="6"/>
        <v>30000</v>
      </c>
      <c r="G656" s="56">
        <v>12.0</v>
      </c>
      <c r="H656" s="59">
        <f t="shared" si="1"/>
        <v>30000</v>
      </c>
      <c r="I656" s="39"/>
      <c r="J656" s="39"/>
      <c r="K656" s="60">
        <f t="shared" si="2"/>
        <v>0</v>
      </c>
      <c r="L656" s="39"/>
      <c r="M656" s="59">
        <f t="shared" si="3"/>
        <v>0</v>
      </c>
      <c r="N656" s="69">
        <v>12.0</v>
      </c>
      <c r="O656" s="62">
        <f t="shared" si="4"/>
        <v>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4">
        <v>649.0</v>
      </c>
      <c r="C657" s="56" t="s">
        <v>697</v>
      </c>
      <c r="D657" s="67">
        <v>33000.0</v>
      </c>
      <c r="E657" s="56">
        <v>8.0</v>
      </c>
      <c r="F657" s="59">
        <f t="shared" si="6"/>
        <v>264000</v>
      </c>
      <c r="G657" s="56">
        <v>9.0</v>
      </c>
      <c r="H657" s="59">
        <f t="shared" si="1"/>
        <v>297000</v>
      </c>
      <c r="I657" s="39"/>
      <c r="J657" s="56"/>
      <c r="K657" s="60">
        <f t="shared" si="2"/>
        <v>0</v>
      </c>
      <c r="L657" s="56">
        <v>1.0</v>
      </c>
      <c r="M657" s="59">
        <f t="shared" si="3"/>
        <v>33000</v>
      </c>
      <c r="N657" s="69">
        <v>9.0</v>
      </c>
      <c r="O657" s="62">
        <f t="shared" si="4"/>
        <v>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4">
        <v>650.0</v>
      </c>
      <c r="C658" s="56" t="s">
        <v>698</v>
      </c>
      <c r="D658" s="67">
        <v>2000.0</v>
      </c>
      <c r="E658" s="56">
        <v>19.0</v>
      </c>
      <c r="F658" s="59">
        <f t="shared" si="6"/>
        <v>38000</v>
      </c>
      <c r="G658" s="56">
        <v>19.0</v>
      </c>
      <c r="H658" s="59">
        <f t="shared" si="1"/>
        <v>38000</v>
      </c>
      <c r="I658" s="39"/>
      <c r="J658" s="39"/>
      <c r="K658" s="60">
        <f t="shared" si="2"/>
        <v>0</v>
      </c>
      <c r="L658" s="39"/>
      <c r="M658" s="59">
        <f t="shared" si="3"/>
        <v>0</v>
      </c>
      <c r="N658" s="69">
        <v>19.0</v>
      </c>
      <c r="O658" s="62">
        <f t="shared" si="4"/>
        <v>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4">
        <v>651.0</v>
      </c>
      <c r="C659" s="56" t="s">
        <v>699</v>
      </c>
      <c r="D659" s="67">
        <v>850.0</v>
      </c>
      <c r="E659" s="56">
        <v>894.0</v>
      </c>
      <c r="F659" s="59">
        <f t="shared" si="6"/>
        <v>759900</v>
      </c>
      <c r="G659" s="56">
        <v>894.0</v>
      </c>
      <c r="H659" s="59">
        <f t="shared" si="1"/>
        <v>759900</v>
      </c>
      <c r="I659" s="39"/>
      <c r="J659" s="39"/>
      <c r="K659" s="60">
        <f t="shared" si="2"/>
        <v>0</v>
      </c>
      <c r="L659" s="39"/>
      <c r="M659" s="59">
        <f t="shared" si="3"/>
        <v>0</v>
      </c>
      <c r="N659" s="69">
        <v>894.0</v>
      </c>
      <c r="O659" s="62">
        <f t="shared" si="4"/>
        <v>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4">
        <v>652.0</v>
      </c>
      <c r="C660" s="56" t="s">
        <v>700</v>
      </c>
      <c r="D660" s="67">
        <v>1500.0</v>
      </c>
      <c r="E660" s="56">
        <v>35.0</v>
      </c>
      <c r="F660" s="59">
        <f t="shared" si="6"/>
        <v>52500</v>
      </c>
      <c r="G660" s="56">
        <v>35.0</v>
      </c>
      <c r="H660" s="59">
        <f t="shared" si="1"/>
        <v>52500</v>
      </c>
      <c r="I660" s="39"/>
      <c r="J660" s="39"/>
      <c r="K660" s="60">
        <f t="shared" si="2"/>
        <v>0</v>
      </c>
      <c r="L660" s="39"/>
      <c r="M660" s="59">
        <f t="shared" si="3"/>
        <v>0</v>
      </c>
      <c r="N660" s="69">
        <v>35.0</v>
      </c>
      <c r="O660" s="62">
        <f t="shared" si="4"/>
        <v>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4">
        <v>653.0</v>
      </c>
      <c r="C661" s="56" t="s">
        <v>701</v>
      </c>
      <c r="D661" s="67">
        <v>5000.0</v>
      </c>
      <c r="E661" s="56">
        <v>32.0</v>
      </c>
      <c r="F661" s="59">
        <f t="shared" si="6"/>
        <v>160000</v>
      </c>
      <c r="G661" s="56">
        <v>32.0</v>
      </c>
      <c r="H661" s="59">
        <f t="shared" si="1"/>
        <v>160000</v>
      </c>
      <c r="I661" s="39"/>
      <c r="J661" s="39"/>
      <c r="K661" s="60">
        <f t="shared" si="2"/>
        <v>0</v>
      </c>
      <c r="L661" s="39"/>
      <c r="M661" s="59">
        <f t="shared" si="3"/>
        <v>0</v>
      </c>
      <c r="N661" s="69">
        <v>32.0</v>
      </c>
      <c r="O661" s="62">
        <f t="shared" si="4"/>
        <v>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4">
        <v>654.0</v>
      </c>
      <c r="C662" s="56" t="s">
        <v>702</v>
      </c>
      <c r="D662" s="67">
        <v>51.0</v>
      </c>
      <c r="E662" s="56">
        <v>568.0</v>
      </c>
      <c r="F662" s="59">
        <f t="shared" si="6"/>
        <v>28968</v>
      </c>
      <c r="G662" s="56">
        <v>568.0</v>
      </c>
      <c r="H662" s="59">
        <f t="shared" si="1"/>
        <v>28968</v>
      </c>
      <c r="I662" s="39"/>
      <c r="J662" s="39"/>
      <c r="K662" s="60">
        <f t="shared" si="2"/>
        <v>0</v>
      </c>
      <c r="L662" s="39"/>
      <c r="M662" s="59">
        <f t="shared" si="3"/>
        <v>0</v>
      </c>
      <c r="N662" s="69">
        <v>568.0</v>
      </c>
      <c r="O662" s="62">
        <f t="shared" si="4"/>
        <v>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4">
        <v>655.0</v>
      </c>
      <c r="C663" s="56" t="s">
        <v>703</v>
      </c>
      <c r="D663" s="67">
        <v>2500.0</v>
      </c>
      <c r="E663" s="56">
        <v>1.0</v>
      </c>
      <c r="F663" s="59">
        <f t="shared" si="6"/>
        <v>2500</v>
      </c>
      <c r="G663" s="56">
        <v>1.0</v>
      </c>
      <c r="H663" s="59">
        <f t="shared" si="1"/>
        <v>2500</v>
      </c>
      <c r="I663" s="39"/>
      <c r="J663" s="39"/>
      <c r="K663" s="60">
        <f t="shared" si="2"/>
        <v>0</v>
      </c>
      <c r="L663" s="39"/>
      <c r="M663" s="59">
        <f t="shared" si="3"/>
        <v>0</v>
      </c>
      <c r="N663" s="69">
        <v>1.0</v>
      </c>
      <c r="O663" s="62">
        <f t="shared" si="4"/>
        <v>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4">
        <v>656.0</v>
      </c>
      <c r="C664" s="56" t="s">
        <v>704</v>
      </c>
      <c r="D664" s="67">
        <v>1500.0</v>
      </c>
      <c r="E664" s="56">
        <v>4.0</v>
      </c>
      <c r="F664" s="59">
        <f t="shared" si="6"/>
        <v>6000</v>
      </c>
      <c r="G664" s="56">
        <v>4.0</v>
      </c>
      <c r="H664" s="59">
        <f t="shared" si="1"/>
        <v>6000</v>
      </c>
      <c r="I664" s="39"/>
      <c r="J664" s="39"/>
      <c r="K664" s="60">
        <f t="shared" si="2"/>
        <v>0</v>
      </c>
      <c r="L664" s="39"/>
      <c r="M664" s="59">
        <f t="shared" si="3"/>
        <v>0</v>
      </c>
      <c r="N664" s="69">
        <v>4.0</v>
      </c>
      <c r="O664" s="62">
        <f t="shared" si="4"/>
        <v>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4">
        <v>657.0</v>
      </c>
      <c r="C665" s="56" t="s">
        <v>705</v>
      </c>
      <c r="D665" s="67">
        <v>2000.0</v>
      </c>
      <c r="E665" s="56">
        <v>1.0</v>
      </c>
      <c r="F665" s="59">
        <f t="shared" si="6"/>
        <v>2000</v>
      </c>
      <c r="G665" s="56">
        <v>1.0</v>
      </c>
      <c r="H665" s="59">
        <f t="shared" si="1"/>
        <v>2000</v>
      </c>
      <c r="I665" s="39"/>
      <c r="J665" s="39"/>
      <c r="K665" s="60">
        <f t="shared" si="2"/>
        <v>0</v>
      </c>
      <c r="L665" s="39"/>
      <c r="M665" s="59">
        <f t="shared" si="3"/>
        <v>0</v>
      </c>
      <c r="N665" s="69">
        <v>1.0</v>
      </c>
      <c r="O665" s="62">
        <f t="shared" si="4"/>
        <v>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4">
        <v>658.0</v>
      </c>
      <c r="C666" s="56" t="s">
        <v>706</v>
      </c>
      <c r="D666" s="67">
        <v>9717.0</v>
      </c>
      <c r="E666" s="56">
        <v>2.0</v>
      </c>
      <c r="F666" s="59">
        <f t="shared" si="6"/>
        <v>19434</v>
      </c>
      <c r="G666" s="56">
        <v>2.0</v>
      </c>
      <c r="H666" s="59">
        <f t="shared" si="1"/>
        <v>19434</v>
      </c>
      <c r="I666" s="39"/>
      <c r="J666" s="39"/>
      <c r="K666" s="60">
        <f t="shared" si="2"/>
        <v>0</v>
      </c>
      <c r="L666" s="39"/>
      <c r="M666" s="59">
        <f t="shared" si="3"/>
        <v>0</v>
      </c>
      <c r="N666" s="69">
        <v>2.0</v>
      </c>
      <c r="O666" s="62">
        <f t="shared" si="4"/>
        <v>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4">
        <v>659.0</v>
      </c>
      <c r="C667" s="56" t="s">
        <v>707</v>
      </c>
      <c r="D667" s="67">
        <v>7000.0</v>
      </c>
      <c r="E667" s="56">
        <v>1.0</v>
      </c>
      <c r="F667" s="59">
        <f t="shared" si="6"/>
        <v>7000</v>
      </c>
      <c r="G667" s="56">
        <v>1.0</v>
      </c>
      <c r="H667" s="59">
        <f t="shared" si="1"/>
        <v>7000</v>
      </c>
      <c r="I667" s="39"/>
      <c r="J667" s="39"/>
      <c r="K667" s="60">
        <f t="shared" si="2"/>
        <v>0</v>
      </c>
      <c r="L667" s="39"/>
      <c r="M667" s="59">
        <f t="shared" si="3"/>
        <v>0</v>
      </c>
      <c r="N667" s="69">
        <v>1.0</v>
      </c>
      <c r="O667" s="62">
        <f t="shared" si="4"/>
        <v>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4">
        <v>660.0</v>
      </c>
      <c r="C668" s="56" t="s">
        <v>708</v>
      </c>
      <c r="D668" s="67">
        <v>8000.0</v>
      </c>
      <c r="E668" s="56">
        <v>2.0</v>
      </c>
      <c r="F668" s="59">
        <f t="shared" si="6"/>
        <v>16000</v>
      </c>
      <c r="G668" s="56">
        <v>2.0</v>
      </c>
      <c r="H668" s="59">
        <f t="shared" si="1"/>
        <v>16000</v>
      </c>
      <c r="I668" s="39"/>
      <c r="J668" s="39"/>
      <c r="K668" s="60">
        <f t="shared" si="2"/>
        <v>0</v>
      </c>
      <c r="L668" s="39"/>
      <c r="M668" s="59">
        <f t="shared" si="3"/>
        <v>0</v>
      </c>
      <c r="N668" s="69">
        <v>0.0</v>
      </c>
      <c r="O668" s="62">
        <f t="shared" si="4"/>
        <v>-2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4">
        <v>661.0</v>
      </c>
      <c r="C669" s="56" t="s">
        <v>709</v>
      </c>
      <c r="D669" s="67">
        <v>8000.0</v>
      </c>
      <c r="E669" s="56">
        <v>2.0</v>
      </c>
      <c r="F669" s="59">
        <f t="shared" si="6"/>
        <v>16000</v>
      </c>
      <c r="G669" s="56">
        <v>2.0</v>
      </c>
      <c r="H669" s="59">
        <f t="shared" si="1"/>
        <v>16000</v>
      </c>
      <c r="I669" s="39"/>
      <c r="J669" s="39"/>
      <c r="K669" s="60">
        <f t="shared" si="2"/>
        <v>0</v>
      </c>
      <c r="L669" s="39"/>
      <c r="M669" s="59">
        <f t="shared" si="3"/>
        <v>0</v>
      </c>
      <c r="N669" s="69">
        <v>0.0</v>
      </c>
      <c r="O669" s="62">
        <f t="shared" si="4"/>
        <v>-2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4">
        <v>662.0</v>
      </c>
      <c r="C670" s="56" t="s">
        <v>710</v>
      </c>
      <c r="D670" s="67">
        <v>14000.0</v>
      </c>
      <c r="E670" s="56">
        <v>2.0</v>
      </c>
      <c r="F670" s="59">
        <f t="shared" si="6"/>
        <v>28000</v>
      </c>
      <c r="G670" s="56">
        <v>2.0</v>
      </c>
      <c r="H670" s="59">
        <f t="shared" si="1"/>
        <v>28000</v>
      </c>
      <c r="I670" s="39"/>
      <c r="J670" s="39"/>
      <c r="K670" s="60">
        <f t="shared" si="2"/>
        <v>0</v>
      </c>
      <c r="L670" s="39"/>
      <c r="M670" s="59">
        <f t="shared" si="3"/>
        <v>0</v>
      </c>
      <c r="N670" s="69">
        <v>2.0</v>
      </c>
      <c r="O670" s="62">
        <f t="shared" si="4"/>
        <v>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4">
        <v>663.0</v>
      </c>
      <c r="C671" s="56" t="s">
        <v>711</v>
      </c>
      <c r="D671" s="67">
        <v>10000.0</v>
      </c>
      <c r="E671" s="56">
        <v>3.0</v>
      </c>
      <c r="F671" s="59">
        <f t="shared" si="6"/>
        <v>30000</v>
      </c>
      <c r="G671" s="56">
        <v>3.0</v>
      </c>
      <c r="H671" s="59">
        <f t="shared" si="1"/>
        <v>30000</v>
      </c>
      <c r="I671" s="39"/>
      <c r="J671" s="39"/>
      <c r="K671" s="60">
        <f t="shared" si="2"/>
        <v>0</v>
      </c>
      <c r="L671" s="39"/>
      <c r="M671" s="59">
        <f t="shared" si="3"/>
        <v>0</v>
      </c>
      <c r="N671" s="69">
        <v>3.0</v>
      </c>
      <c r="O671" s="62">
        <f t="shared" si="4"/>
        <v>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4">
        <v>664.0</v>
      </c>
      <c r="C672" s="56" t="s">
        <v>712</v>
      </c>
      <c r="D672" s="67">
        <v>12500.0</v>
      </c>
      <c r="E672" s="56">
        <v>7.0</v>
      </c>
      <c r="F672" s="59">
        <f t="shared" si="6"/>
        <v>87500</v>
      </c>
      <c r="G672" s="56">
        <v>7.0</v>
      </c>
      <c r="H672" s="59">
        <f t="shared" si="1"/>
        <v>87500</v>
      </c>
      <c r="I672" s="39"/>
      <c r="J672" s="39"/>
      <c r="K672" s="60">
        <f t="shared" si="2"/>
        <v>0</v>
      </c>
      <c r="L672" s="39"/>
      <c r="M672" s="59">
        <f t="shared" si="3"/>
        <v>0</v>
      </c>
      <c r="N672" s="69">
        <v>7.0</v>
      </c>
      <c r="O672" s="62">
        <f t="shared" si="4"/>
        <v>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4">
        <v>665.0</v>
      </c>
      <c r="C673" s="56" t="s">
        <v>713</v>
      </c>
      <c r="D673" s="67">
        <v>20500.0</v>
      </c>
      <c r="E673" s="56">
        <v>28.0</v>
      </c>
      <c r="F673" s="59">
        <f t="shared" si="6"/>
        <v>574000</v>
      </c>
      <c r="G673" s="56">
        <v>28.0</v>
      </c>
      <c r="H673" s="59">
        <f t="shared" si="1"/>
        <v>574000</v>
      </c>
      <c r="I673" s="39"/>
      <c r="J673" s="39"/>
      <c r="K673" s="60">
        <f t="shared" si="2"/>
        <v>0</v>
      </c>
      <c r="L673" s="39"/>
      <c r="M673" s="59">
        <f t="shared" si="3"/>
        <v>0</v>
      </c>
      <c r="N673" s="69">
        <v>28.0</v>
      </c>
      <c r="O673" s="62">
        <f t="shared" si="4"/>
        <v>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4">
        <v>666.0</v>
      </c>
      <c r="C674" s="56" t="s">
        <v>714</v>
      </c>
      <c r="D674" s="67">
        <v>500.0</v>
      </c>
      <c r="E674" s="56">
        <v>46.0</v>
      </c>
      <c r="F674" s="59">
        <f t="shared" si="6"/>
        <v>23000</v>
      </c>
      <c r="G674" s="56">
        <v>0.0</v>
      </c>
      <c r="H674" s="59">
        <f t="shared" si="1"/>
        <v>0</v>
      </c>
      <c r="I674" s="39"/>
      <c r="J674" s="56">
        <v>46.0</v>
      </c>
      <c r="K674" s="60">
        <f t="shared" si="2"/>
        <v>23000</v>
      </c>
      <c r="L674" s="39"/>
      <c r="M674" s="59">
        <f t="shared" si="3"/>
        <v>0</v>
      </c>
      <c r="N674" s="69">
        <v>0.0</v>
      </c>
      <c r="O674" s="62">
        <f t="shared" si="4"/>
        <v>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4">
        <v>667.0</v>
      </c>
      <c r="C675" s="56" t="s">
        <v>715</v>
      </c>
      <c r="D675" s="67">
        <v>3000.0</v>
      </c>
      <c r="E675" s="56">
        <v>2.0</v>
      </c>
      <c r="F675" s="59">
        <f t="shared" si="6"/>
        <v>6000</v>
      </c>
      <c r="G675" s="56">
        <v>2.0</v>
      </c>
      <c r="H675" s="59">
        <f t="shared" si="1"/>
        <v>6000</v>
      </c>
      <c r="I675" s="39"/>
      <c r="J675" s="39"/>
      <c r="K675" s="60">
        <f t="shared" si="2"/>
        <v>0</v>
      </c>
      <c r="L675" s="39"/>
      <c r="M675" s="59">
        <f t="shared" si="3"/>
        <v>0</v>
      </c>
      <c r="N675" s="69">
        <v>2.0</v>
      </c>
      <c r="O675" s="62">
        <f t="shared" si="4"/>
        <v>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4">
        <v>668.0</v>
      </c>
      <c r="C676" s="56" t="s">
        <v>716</v>
      </c>
      <c r="D676" s="67">
        <v>3000.0</v>
      </c>
      <c r="E676" s="56">
        <v>41.0</v>
      </c>
      <c r="F676" s="59">
        <f t="shared" si="6"/>
        <v>123000</v>
      </c>
      <c r="G676" s="56">
        <v>41.0</v>
      </c>
      <c r="H676" s="59">
        <f t="shared" si="1"/>
        <v>123000</v>
      </c>
      <c r="I676" s="39"/>
      <c r="J676" s="39"/>
      <c r="K676" s="60">
        <f t="shared" si="2"/>
        <v>0</v>
      </c>
      <c r="L676" s="39"/>
      <c r="M676" s="59">
        <f t="shared" si="3"/>
        <v>0</v>
      </c>
      <c r="N676" s="69">
        <v>41.0</v>
      </c>
      <c r="O676" s="62">
        <f t="shared" si="4"/>
        <v>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4">
        <v>669.0</v>
      </c>
      <c r="C677" s="56" t="s">
        <v>717</v>
      </c>
      <c r="D677" s="67">
        <v>1500.0</v>
      </c>
      <c r="E677" s="56">
        <v>1.0</v>
      </c>
      <c r="F677" s="59">
        <f t="shared" si="6"/>
        <v>1500</v>
      </c>
      <c r="G677" s="56">
        <v>1.0</v>
      </c>
      <c r="H677" s="59">
        <f t="shared" si="1"/>
        <v>1500</v>
      </c>
      <c r="I677" s="39"/>
      <c r="J677" s="39"/>
      <c r="K677" s="60">
        <f t="shared" si="2"/>
        <v>0</v>
      </c>
      <c r="L677" s="39"/>
      <c r="M677" s="59">
        <f t="shared" si="3"/>
        <v>0</v>
      </c>
      <c r="N677" s="69">
        <v>1.0</v>
      </c>
      <c r="O677" s="62">
        <f t="shared" si="4"/>
        <v>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4">
        <v>670.0</v>
      </c>
      <c r="C678" s="56" t="s">
        <v>718</v>
      </c>
      <c r="D678" s="67">
        <v>300.0</v>
      </c>
      <c r="E678" s="56">
        <v>3.0</v>
      </c>
      <c r="F678" s="59">
        <f t="shared" si="6"/>
        <v>900</v>
      </c>
      <c r="G678" s="56">
        <v>3.0</v>
      </c>
      <c r="H678" s="59">
        <f t="shared" si="1"/>
        <v>900</v>
      </c>
      <c r="I678" s="39"/>
      <c r="J678" s="39"/>
      <c r="K678" s="60">
        <f t="shared" si="2"/>
        <v>0</v>
      </c>
      <c r="L678" s="39"/>
      <c r="M678" s="59">
        <f t="shared" si="3"/>
        <v>0</v>
      </c>
      <c r="N678" s="69">
        <v>3.0</v>
      </c>
      <c r="O678" s="62">
        <f t="shared" si="4"/>
        <v>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4">
        <v>671.0</v>
      </c>
      <c r="C679" s="56" t="s">
        <v>719</v>
      </c>
      <c r="D679" s="70"/>
      <c r="E679" s="56">
        <v>16.0</v>
      </c>
      <c r="F679" s="59">
        <f t="shared" si="6"/>
        <v>0</v>
      </c>
      <c r="G679" s="56">
        <v>16.0</v>
      </c>
      <c r="H679" s="59">
        <f t="shared" si="1"/>
        <v>0</v>
      </c>
      <c r="I679" s="39"/>
      <c r="J679" s="39"/>
      <c r="K679" s="60">
        <f t="shared" si="2"/>
        <v>0</v>
      </c>
      <c r="L679" s="39"/>
      <c r="M679" s="59">
        <f t="shared" si="3"/>
        <v>0</v>
      </c>
      <c r="N679" s="69">
        <v>16.0</v>
      </c>
      <c r="O679" s="62">
        <f t="shared" si="4"/>
        <v>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4">
        <v>672.0</v>
      </c>
      <c r="C680" s="56" t="s">
        <v>720</v>
      </c>
      <c r="D680" s="67">
        <v>16666.67</v>
      </c>
      <c r="E680" s="56">
        <v>26.0</v>
      </c>
      <c r="F680" s="59">
        <f t="shared" si="6"/>
        <v>433333.42</v>
      </c>
      <c r="G680" s="56">
        <v>26.0</v>
      </c>
      <c r="H680" s="59">
        <f t="shared" si="1"/>
        <v>433333.42</v>
      </c>
      <c r="I680" s="39"/>
      <c r="J680" s="39"/>
      <c r="K680" s="60">
        <f t="shared" si="2"/>
        <v>0</v>
      </c>
      <c r="L680" s="39"/>
      <c r="M680" s="59">
        <f t="shared" si="3"/>
        <v>0</v>
      </c>
      <c r="N680" s="69">
        <v>26.0</v>
      </c>
      <c r="O680" s="62">
        <f t="shared" si="4"/>
        <v>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4">
        <v>673.0</v>
      </c>
      <c r="C681" s="56" t="s">
        <v>721</v>
      </c>
      <c r="D681" s="67">
        <v>45045.05</v>
      </c>
      <c r="E681" s="56">
        <v>3.0</v>
      </c>
      <c r="F681" s="59">
        <f t="shared" si="6"/>
        <v>135135.15</v>
      </c>
      <c r="G681" s="56">
        <v>3.0</v>
      </c>
      <c r="H681" s="59">
        <f t="shared" si="1"/>
        <v>135135.15</v>
      </c>
      <c r="I681" s="39"/>
      <c r="J681" s="39"/>
      <c r="K681" s="60">
        <f t="shared" si="2"/>
        <v>0</v>
      </c>
      <c r="L681" s="39"/>
      <c r="M681" s="59">
        <f t="shared" si="3"/>
        <v>0</v>
      </c>
      <c r="N681" s="69">
        <v>3.0</v>
      </c>
      <c r="O681" s="62">
        <f t="shared" si="4"/>
        <v>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4">
        <v>674.0</v>
      </c>
      <c r="C682" s="56" t="s">
        <v>722</v>
      </c>
      <c r="D682" s="67">
        <v>31531.53</v>
      </c>
      <c r="E682" s="56">
        <v>39.0</v>
      </c>
      <c r="F682" s="59">
        <f t="shared" si="6"/>
        <v>1229729.67</v>
      </c>
      <c r="G682" s="56">
        <v>39.0</v>
      </c>
      <c r="H682" s="59">
        <f t="shared" si="1"/>
        <v>1229729.67</v>
      </c>
      <c r="I682" s="39"/>
      <c r="J682" s="39"/>
      <c r="K682" s="60">
        <f t="shared" si="2"/>
        <v>0</v>
      </c>
      <c r="L682" s="39"/>
      <c r="M682" s="59">
        <f t="shared" si="3"/>
        <v>0</v>
      </c>
      <c r="N682" s="69">
        <v>39.0</v>
      </c>
      <c r="O682" s="62">
        <f t="shared" si="4"/>
        <v>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4">
        <v>675.0</v>
      </c>
      <c r="C683" s="56" t="s">
        <v>723</v>
      </c>
      <c r="D683" s="67">
        <v>168918.92</v>
      </c>
      <c r="E683" s="56">
        <v>5.0</v>
      </c>
      <c r="F683" s="59">
        <f t="shared" si="6"/>
        <v>844594.6</v>
      </c>
      <c r="G683" s="56">
        <v>5.0</v>
      </c>
      <c r="H683" s="59">
        <f t="shared" si="1"/>
        <v>844594.6</v>
      </c>
      <c r="I683" s="39"/>
      <c r="J683" s="39"/>
      <c r="K683" s="60">
        <f t="shared" si="2"/>
        <v>0</v>
      </c>
      <c r="L683" s="39"/>
      <c r="M683" s="59">
        <f t="shared" si="3"/>
        <v>0</v>
      </c>
      <c r="N683" s="69">
        <v>5.0</v>
      </c>
      <c r="O683" s="62">
        <f t="shared" si="4"/>
        <v>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4">
        <v>676.0</v>
      </c>
      <c r="C684" s="56" t="s">
        <v>724</v>
      </c>
      <c r="D684" s="67">
        <v>142092.79</v>
      </c>
      <c r="E684" s="56">
        <v>3.0</v>
      </c>
      <c r="F684" s="59">
        <f t="shared" si="6"/>
        <v>426278.37</v>
      </c>
      <c r="G684" s="56">
        <v>3.0</v>
      </c>
      <c r="H684" s="59">
        <f t="shared" si="1"/>
        <v>426278.37</v>
      </c>
      <c r="I684" s="39"/>
      <c r="J684" s="39"/>
      <c r="K684" s="60">
        <f t="shared" si="2"/>
        <v>0</v>
      </c>
      <c r="L684" s="39"/>
      <c r="M684" s="59">
        <f t="shared" si="3"/>
        <v>0</v>
      </c>
      <c r="N684" s="69">
        <v>3.0</v>
      </c>
      <c r="O684" s="62">
        <f t="shared" si="4"/>
        <v>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4">
        <v>677.0</v>
      </c>
      <c r="C685" s="56" t="s">
        <v>725</v>
      </c>
      <c r="D685" s="67">
        <v>138765.77</v>
      </c>
      <c r="E685" s="56">
        <v>3.0</v>
      </c>
      <c r="F685" s="59">
        <f t="shared" si="6"/>
        <v>416297.31</v>
      </c>
      <c r="G685" s="56">
        <v>3.0</v>
      </c>
      <c r="H685" s="59">
        <f t="shared" si="1"/>
        <v>416297.31</v>
      </c>
      <c r="I685" s="39"/>
      <c r="J685" s="39"/>
      <c r="K685" s="60">
        <f t="shared" si="2"/>
        <v>0</v>
      </c>
      <c r="L685" s="39"/>
      <c r="M685" s="59">
        <f t="shared" si="3"/>
        <v>0</v>
      </c>
      <c r="N685" s="69">
        <v>3.0</v>
      </c>
      <c r="O685" s="62">
        <f t="shared" si="4"/>
        <v>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4">
        <v>678.0</v>
      </c>
      <c r="C686" s="56" t="s">
        <v>726</v>
      </c>
      <c r="D686" s="67">
        <v>138765.77</v>
      </c>
      <c r="E686" s="56">
        <v>1.0</v>
      </c>
      <c r="F686" s="59">
        <f t="shared" si="6"/>
        <v>138765.77</v>
      </c>
      <c r="G686" s="56">
        <v>0.0</v>
      </c>
      <c r="H686" s="59">
        <f t="shared" si="1"/>
        <v>0</v>
      </c>
      <c r="I686" s="39"/>
      <c r="J686" s="56">
        <v>1.0</v>
      </c>
      <c r="K686" s="60">
        <f t="shared" si="2"/>
        <v>138765.77</v>
      </c>
      <c r="L686" s="39"/>
      <c r="M686" s="59">
        <f t="shared" si="3"/>
        <v>0</v>
      </c>
      <c r="N686" s="69">
        <v>0.0</v>
      </c>
      <c r="O686" s="62">
        <f t="shared" si="4"/>
        <v>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4">
        <v>679.0</v>
      </c>
      <c r="C687" s="56" t="s">
        <v>727</v>
      </c>
      <c r="D687" s="63">
        <f>154030/1.11</f>
        <v>138765.7658</v>
      </c>
      <c r="E687" s="56">
        <v>2.0</v>
      </c>
      <c r="F687" s="59">
        <f t="shared" si="6"/>
        <v>277531.5315</v>
      </c>
      <c r="G687" s="56">
        <v>4.0</v>
      </c>
      <c r="H687" s="59">
        <f t="shared" si="1"/>
        <v>555063.0631</v>
      </c>
      <c r="I687" s="39"/>
      <c r="J687" s="39"/>
      <c r="K687" s="60">
        <f t="shared" si="2"/>
        <v>0</v>
      </c>
      <c r="L687" s="56">
        <v>2.0</v>
      </c>
      <c r="M687" s="59">
        <f t="shared" si="3"/>
        <v>277531.5315</v>
      </c>
      <c r="N687" s="69">
        <v>4.0</v>
      </c>
      <c r="O687" s="62">
        <f t="shared" si="4"/>
        <v>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4">
        <v>680.0</v>
      </c>
      <c r="C688" s="56" t="s">
        <v>728</v>
      </c>
      <c r="D688" s="67">
        <v>45000.0</v>
      </c>
      <c r="E688" s="56">
        <v>1.0</v>
      </c>
      <c r="F688" s="59">
        <f t="shared" si="6"/>
        <v>45000</v>
      </c>
      <c r="G688" s="56">
        <v>1.0</v>
      </c>
      <c r="H688" s="59">
        <f t="shared" si="1"/>
        <v>45000</v>
      </c>
      <c r="I688" s="39"/>
      <c r="J688" s="39"/>
      <c r="K688" s="60">
        <f t="shared" si="2"/>
        <v>0</v>
      </c>
      <c r="L688" s="39"/>
      <c r="M688" s="59">
        <f t="shared" si="3"/>
        <v>0</v>
      </c>
      <c r="N688" s="69">
        <v>1.0</v>
      </c>
      <c r="O688" s="62">
        <f t="shared" si="4"/>
        <v>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4">
        <v>681.0</v>
      </c>
      <c r="C689" s="56" t="s">
        <v>729</v>
      </c>
      <c r="D689" s="67">
        <v>15500.0</v>
      </c>
      <c r="E689" s="56">
        <v>5.0</v>
      </c>
      <c r="F689" s="59">
        <f t="shared" si="6"/>
        <v>77500</v>
      </c>
      <c r="G689" s="56">
        <v>5.0</v>
      </c>
      <c r="H689" s="59">
        <f t="shared" si="1"/>
        <v>77500</v>
      </c>
      <c r="I689" s="39"/>
      <c r="J689" s="39"/>
      <c r="K689" s="60">
        <f t="shared" si="2"/>
        <v>0</v>
      </c>
      <c r="L689" s="39"/>
      <c r="M689" s="59">
        <f t="shared" si="3"/>
        <v>0</v>
      </c>
      <c r="N689" s="69">
        <v>5.0</v>
      </c>
      <c r="O689" s="62">
        <f t="shared" si="4"/>
        <v>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4">
        <v>682.0</v>
      </c>
      <c r="C690" s="56" t="s">
        <v>730</v>
      </c>
      <c r="D690" s="67">
        <v>16666.67</v>
      </c>
      <c r="E690" s="56">
        <v>4.0</v>
      </c>
      <c r="F690" s="59">
        <f t="shared" si="6"/>
        <v>66666.68</v>
      </c>
      <c r="G690" s="56">
        <v>4.0</v>
      </c>
      <c r="H690" s="59">
        <f t="shared" si="1"/>
        <v>66666.68</v>
      </c>
      <c r="I690" s="39"/>
      <c r="J690" s="39"/>
      <c r="K690" s="60">
        <f t="shared" si="2"/>
        <v>0</v>
      </c>
      <c r="L690" s="39"/>
      <c r="M690" s="59">
        <f t="shared" si="3"/>
        <v>0</v>
      </c>
      <c r="N690" s="69">
        <v>4.0</v>
      </c>
      <c r="O690" s="62">
        <f t="shared" si="4"/>
        <v>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4">
        <v>683.0</v>
      </c>
      <c r="C691" s="56" t="s">
        <v>731</v>
      </c>
      <c r="D691" s="67">
        <v>24324.32</v>
      </c>
      <c r="E691" s="56">
        <v>4.0</v>
      </c>
      <c r="F691" s="59">
        <f t="shared" si="6"/>
        <v>97297.28</v>
      </c>
      <c r="G691" s="56">
        <v>4.0</v>
      </c>
      <c r="H691" s="59">
        <f t="shared" si="1"/>
        <v>97297.28</v>
      </c>
      <c r="I691" s="39"/>
      <c r="J691" s="39"/>
      <c r="K691" s="60">
        <f t="shared" si="2"/>
        <v>0</v>
      </c>
      <c r="L691" s="39"/>
      <c r="M691" s="59">
        <f t="shared" si="3"/>
        <v>0</v>
      </c>
      <c r="N691" s="69">
        <v>4.0</v>
      </c>
      <c r="O691" s="62">
        <f t="shared" si="4"/>
        <v>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4">
        <v>684.0</v>
      </c>
      <c r="C692" s="56" t="s">
        <v>732</v>
      </c>
      <c r="D692" s="67">
        <v>12612.61</v>
      </c>
      <c r="E692" s="56">
        <v>5.0</v>
      </c>
      <c r="F692" s="59">
        <f t="shared" si="6"/>
        <v>63063.05</v>
      </c>
      <c r="G692" s="56">
        <v>4.0</v>
      </c>
      <c r="H692" s="59">
        <f t="shared" si="1"/>
        <v>50450.44</v>
      </c>
      <c r="I692" s="39"/>
      <c r="J692" s="56">
        <v>1.0</v>
      </c>
      <c r="K692" s="60">
        <f t="shared" si="2"/>
        <v>12612.61</v>
      </c>
      <c r="L692" s="39"/>
      <c r="M692" s="59">
        <f t="shared" si="3"/>
        <v>0</v>
      </c>
      <c r="N692" s="69">
        <v>4.0</v>
      </c>
      <c r="O692" s="62">
        <f t="shared" si="4"/>
        <v>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4">
        <v>685.0</v>
      </c>
      <c r="C693" s="56" t="s">
        <v>733</v>
      </c>
      <c r="D693" s="67">
        <v>15000.0</v>
      </c>
      <c r="E693" s="56">
        <v>1.0</v>
      </c>
      <c r="F693" s="59">
        <f t="shared" si="6"/>
        <v>15000</v>
      </c>
      <c r="G693" s="56">
        <v>1.0</v>
      </c>
      <c r="H693" s="59">
        <f t="shared" si="1"/>
        <v>15000</v>
      </c>
      <c r="I693" s="39"/>
      <c r="J693" s="39"/>
      <c r="K693" s="60">
        <f t="shared" si="2"/>
        <v>0</v>
      </c>
      <c r="L693" s="39"/>
      <c r="M693" s="59">
        <f t="shared" si="3"/>
        <v>0</v>
      </c>
      <c r="N693" s="69">
        <v>1.0</v>
      </c>
      <c r="O693" s="62">
        <f t="shared" si="4"/>
        <v>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4">
        <v>686.0</v>
      </c>
      <c r="C694" s="56" t="s">
        <v>734</v>
      </c>
      <c r="D694" s="67">
        <v>31500.0</v>
      </c>
      <c r="E694" s="56">
        <v>4.0</v>
      </c>
      <c r="F694" s="59">
        <f t="shared" si="6"/>
        <v>126000</v>
      </c>
      <c r="G694" s="56">
        <v>0.0</v>
      </c>
      <c r="H694" s="59">
        <f t="shared" si="1"/>
        <v>0</v>
      </c>
      <c r="I694" s="39"/>
      <c r="J694" s="56">
        <v>4.0</v>
      </c>
      <c r="K694" s="60">
        <f t="shared" si="2"/>
        <v>126000</v>
      </c>
      <c r="L694" s="39"/>
      <c r="M694" s="59">
        <f t="shared" si="3"/>
        <v>0</v>
      </c>
      <c r="N694" s="69">
        <v>0.0</v>
      </c>
      <c r="O694" s="62">
        <f t="shared" si="4"/>
        <v>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4">
        <v>687.0</v>
      </c>
      <c r="C695" s="56" t="s">
        <v>735</v>
      </c>
      <c r="D695" s="67">
        <v>36500.0</v>
      </c>
      <c r="E695" s="56">
        <v>1.0</v>
      </c>
      <c r="F695" s="59">
        <f t="shared" si="6"/>
        <v>36500</v>
      </c>
      <c r="G695" s="56">
        <v>1.0</v>
      </c>
      <c r="H695" s="59">
        <f t="shared" si="1"/>
        <v>36500</v>
      </c>
      <c r="I695" s="39"/>
      <c r="J695" s="39"/>
      <c r="K695" s="60">
        <f t="shared" si="2"/>
        <v>0</v>
      </c>
      <c r="L695" s="39"/>
      <c r="M695" s="59">
        <f t="shared" si="3"/>
        <v>0</v>
      </c>
      <c r="N695" s="69">
        <v>1.0</v>
      </c>
      <c r="O695" s="62">
        <f t="shared" si="4"/>
        <v>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4">
        <v>688.0</v>
      </c>
      <c r="C696" s="56" t="s">
        <v>736</v>
      </c>
      <c r="D696" s="67">
        <v>57069.37</v>
      </c>
      <c r="E696" s="56">
        <v>1.0</v>
      </c>
      <c r="F696" s="59">
        <f t="shared" si="6"/>
        <v>57069.37</v>
      </c>
      <c r="G696" s="56">
        <v>1.0</v>
      </c>
      <c r="H696" s="59">
        <f t="shared" si="1"/>
        <v>57069.37</v>
      </c>
      <c r="I696" s="39"/>
      <c r="J696" s="39"/>
      <c r="K696" s="60">
        <f t="shared" si="2"/>
        <v>0</v>
      </c>
      <c r="L696" s="39"/>
      <c r="M696" s="59">
        <f t="shared" si="3"/>
        <v>0</v>
      </c>
      <c r="N696" s="69">
        <v>1.0</v>
      </c>
      <c r="O696" s="62">
        <f t="shared" si="4"/>
        <v>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4">
        <v>689.0</v>
      </c>
      <c r="C697" s="56" t="s">
        <v>737</v>
      </c>
      <c r="D697" s="67">
        <v>12612.61</v>
      </c>
      <c r="E697" s="56">
        <v>4.0</v>
      </c>
      <c r="F697" s="59">
        <f t="shared" si="6"/>
        <v>50450.44</v>
      </c>
      <c r="G697" s="56">
        <v>4.0</v>
      </c>
      <c r="H697" s="59">
        <f t="shared" si="1"/>
        <v>50450.44</v>
      </c>
      <c r="I697" s="39"/>
      <c r="J697" s="39"/>
      <c r="K697" s="60">
        <f t="shared" si="2"/>
        <v>0</v>
      </c>
      <c r="L697" s="39"/>
      <c r="M697" s="59">
        <f t="shared" si="3"/>
        <v>0</v>
      </c>
      <c r="N697" s="69">
        <v>4.0</v>
      </c>
      <c r="O697" s="62">
        <f t="shared" si="4"/>
        <v>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4">
        <v>690.0</v>
      </c>
      <c r="C698" s="56" t="s">
        <v>738</v>
      </c>
      <c r="D698" s="67">
        <v>15000.0</v>
      </c>
      <c r="E698" s="56">
        <v>1.0</v>
      </c>
      <c r="F698" s="59">
        <f t="shared" si="6"/>
        <v>15000</v>
      </c>
      <c r="G698" s="56">
        <v>1.0</v>
      </c>
      <c r="H698" s="59">
        <f t="shared" si="1"/>
        <v>15000</v>
      </c>
      <c r="I698" s="39"/>
      <c r="J698" s="39"/>
      <c r="K698" s="60">
        <f t="shared" si="2"/>
        <v>0</v>
      </c>
      <c r="L698" s="39"/>
      <c r="M698" s="59">
        <f t="shared" si="3"/>
        <v>0</v>
      </c>
      <c r="N698" s="69">
        <v>1.0</v>
      </c>
      <c r="O698" s="62">
        <f t="shared" si="4"/>
        <v>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4">
        <v>691.0</v>
      </c>
      <c r="C699" s="56" t="s">
        <v>739</v>
      </c>
      <c r="D699" s="67">
        <v>12000.0</v>
      </c>
      <c r="E699" s="56">
        <v>1.0</v>
      </c>
      <c r="F699" s="59">
        <f t="shared" si="6"/>
        <v>12000</v>
      </c>
      <c r="G699" s="56">
        <v>1.0</v>
      </c>
      <c r="H699" s="59">
        <f t="shared" si="1"/>
        <v>12000</v>
      </c>
      <c r="I699" s="39"/>
      <c r="J699" s="39"/>
      <c r="K699" s="60">
        <f t="shared" si="2"/>
        <v>0</v>
      </c>
      <c r="L699" s="39"/>
      <c r="M699" s="59">
        <f t="shared" si="3"/>
        <v>0</v>
      </c>
      <c r="N699" s="69">
        <v>1.0</v>
      </c>
      <c r="O699" s="62">
        <f t="shared" si="4"/>
        <v>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4">
        <v>692.0</v>
      </c>
      <c r="C700" s="56" t="s">
        <v>740</v>
      </c>
      <c r="D700" s="67">
        <v>15000.0</v>
      </c>
      <c r="E700" s="56">
        <v>1.0</v>
      </c>
      <c r="F700" s="59">
        <f t="shared" si="6"/>
        <v>15000</v>
      </c>
      <c r="G700" s="56">
        <v>1.0</v>
      </c>
      <c r="H700" s="59">
        <f t="shared" si="1"/>
        <v>15000</v>
      </c>
      <c r="I700" s="39"/>
      <c r="J700" s="39"/>
      <c r="K700" s="60">
        <f t="shared" si="2"/>
        <v>0</v>
      </c>
      <c r="L700" s="39"/>
      <c r="M700" s="59">
        <f t="shared" si="3"/>
        <v>0</v>
      </c>
      <c r="N700" s="69">
        <v>1.0</v>
      </c>
      <c r="O700" s="62">
        <f t="shared" si="4"/>
        <v>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4">
        <v>693.0</v>
      </c>
      <c r="C701" s="56" t="s">
        <v>741</v>
      </c>
      <c r="D701" s="67">
        <v>12500.0</v>
      </c>
      <c r="E701" s="56">
        <v>10.0</v>
      </c>
      <c r="F701" s="59">
        <f t="shared" si="6"/>
        <v>125000</v>
      </c>
      <c r="G701" s="56">
        <v>10.0</v>
      </c>
      <c r="H701" s="59">
        <f t="shared" si="1"/>
        <v>125000</v>
      </c>
      <c r="I701" s="39"/>
      <c r="J701" s="39"/>
      <c r="K701" s="60">
        <f t="shared" si="2"/>
        <v>0</v>
      </c>
      <c r="L701" s="39"/>
      <c r="M701" s="59">
        <f t="shared" si="3"/>
        <v>0</v>
      </c>
      <c r="N701" s="69">
        <v>10.0</v>
      </c>
      <c r="O701" s="62">
        <f t="shared" si="4"/>
        <v>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4">
        <v>694.0</v>
      </c>
      <c r="C702" s="56" t="s">
        <v>742</v>
      </c>
      <c r="D702" s="67">
        <v>7500.0</v>
      </c>
      <c r="E702" s="56">
        <v>3.0</v>
      </c>
      <c r="F702" s="59">
        <f t="shared" si="6"/>
        <v>22500</v>
      </c>
      <c r="G702" s="56">
        <v>3.0</v>
      </c>
      <c r="H702" s="59">
        <f t="shared" si="1"/>
        <v>22500</v>
      </c>
      <c r="I702" s="39"/>
      <c r="J702" s="39"/>
      <c r="K702" s="60">
        <f t="shared" si="2"/>
        <v>0</v>
      </c>
      <c r="L702" s="39"/>
      <c r="M702" s="59">
        <f t="shared" si="3"/>
        <v>0</v>
      </c>
      <c r="N702" s="69">
        <v>3.0</v>
      </c>
      <c r="O702" s="62">
        <f t="shared" si="4"/>
        <v>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4">
        <v>695.0</v>
      </c>
      <c r="C703" s="56" t="s">
        <v>743</v>
      </c>
      <c r="D703" s="74">
        <v>13000.0</v>
      </c>
      <c r="E703" s="56">
        <v>2.0</v>
      </c>
      <c r="F703" s="59">
        <f t="shared" si="6"/>
        <v>26000</v>
      </c>
      <c r="G703" s="56">
        <v>2.0</v>
      </c>
      <c r="H703" s="59">
        <f t="shared" si="1"/>
        <v>26000</v>
      </c>
      <c r="I703" s="39"/>
      <c r="J703" s="39"/>
      <c r="K703" s="60">
        <f t="shared" si="2"/>
        <v>0</v>
      </c>
      <c r="L703" s="39"/>
      <c r="M703" s="59">
        <f t="shared" si="3"/>
        <v>0</v>
      </c>
      <c r="N703" s="69">
        <v>2.0</v>
      </c>
      <c r="O703" s="62">
        <f t="shared" si="4"/>
        <v>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4">
        <v>696.0</v>
      </c>
      <c r="C704" s="56" t="s">
        <v>744</v>
      </c>
      <c r="D704" s="74">
        <v>10000.0</v>
      </c>
      <c r="E704" s="56">
        <v>1.0</v>
      </c>
      <c r="F704" s="59">
        <f t="shared" si="6"/>
        <v>10000</v>
      </c>
      <c r="G704" s="56">
        <v>1.0</v>
      </c>
      <c r="H704" s="59">
        <f t="shared" si="1"/>
        <v>10000</v>
      </c>
      <c r="I704" s="39"/>
      <c r="J704" s="39"/>
      <c r="K704" s="60">
        <f t="shared" si="2"/>
        <v>0</v>
      </c>
      <c r="L704" s="39"/>
      <c r="M704" s="59">
        <f t="shared" si="3"/>
        <v>0</v>
      </c>
      <c r="N704" s="69">
        <v>1.0</v>
      </c>
      <c r="O704" s="62">
        <f t="shared" si="4"/>
        <v>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4">
        <v>697.0</v>
      </c>
      <c r="C705" s="56" t="s">
        <v>745</v>
      </c>
      <c r="D705" s="74">
        <v>10000.0</v>
      </c>
      <c r="E705" s="56">
        <v>1.0</v>
      </c>
      <c r="F705" s="59">
        <f t="shared" si="6"/>
        <v>10000</v>
      </c>
      <c r="G705" s="56">
        <v>1.0</v>
      </c>
      <c r="H705" s="59">
        <f t="shared" si="1"/>
        <v>10000</v>
      </c>
      <c r="I705" s="39"/>
      <c r="J705" s="39"/>
      <c r="K705" s="60">
        <f t="shared" si="2"/>
        <v>0</v>
      </c>
      <c r="L705" s="39"/>
      <c r="M705" s="59">
        <f t="shared" si="3"/>
        <v>0</v>
      </c>
      <c r="N705" s="69">
        <v>1.0</v>
      </c>
      <c r="O705" s="62">
        <f t="shared" si="4"/>
        <v>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4">
        <v>698.0</v>
      </c>
      <c r="C706" s="56" t="s">
        <v>746</v>
      </c>
      <c r="D706" s="74">
        <v>15000.0</v>
      </c>
      <c r="E706" s="56">
        <v>1.0</v>
      </c>
      <c r="F706" s="59">
        <f t="shared" si="6"/>
        <v>15000</v>
      </c>
      <c r="G706" s="56">
        <v>0.0</v>
      </c>
      <c r="H706" s="59">
        <f t="shared" si="1"/>
        <v>0</v>
      </c>
      <c r="I706" s="39"/>
      <c r="J706" s="56">
        <v>1.0</v>
      </c>
      <c r="K706" s="60">
        <f t="shared" si="2"/>
        <v>15000</v>
      </c>
      <c r="L706" s="39"/>
      <c r="M706" s="59">
        <f t="shared" si="3"/>
        <v>0</v>
      </c>
      <c r="N706" s="69">
        <v>0.0</v>
      </c>
      <c r="O706" s="62">
        <f t="shared" si="4"/>
        <v>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4">
        <v>699.0</v>
      </c>
      <c r="C707" s="56" t="s">
        <v>747</v>
      </c>
      <c r="D707" s="74">
        <v>51.5</v>
      </c>
      <c r="E707" s="56">
        <v>1.0</v>
      </c>
      <c r="F707" s="59">
        <f t="shared" si="6"/>
        <v>51.5</v>
      </c>
      <c r="G707" s="56">
        <v>0.0</v>
      </c>
      <c r="H707" s="59">
        <f t="shared" si="1"/>
        <v>0</v>
      </c>
      <c r="I707" s="39"/>
      <c r="J707" s="56">
        <v>1.0</v>
      </c>
      <c r="K707" s="60">
        <f t="shared" si="2"/>
        <v>51.5</v>
      </c>
      <c r="L707" s="39"/>
      <c r="M707" s="59">
        <f t="shared" si="3"/>
        <v>0</v>
      </c>
      <c r="N707" s="69">
        <v>0.0</v>
      </c>
      <c r="O707" s="62">
        <f t="shared" si="4"/>
        <v>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4">
        <v>700.0</v>
      </c>
      <c r="C708" s="56" t="s">
        <v>748</v>
      </c>
      <c r="D708" s="83">
        <v>85.0</v>
      </c>
      <c r="E708" s="56">
        <v>400.0</v>
      </c>
      <c r="F708" s="59">
        <f t="shared" si="6"/>
        <v>34000</v>
      </c>
      <c r="G708" s="56">
        <v>0.0</v>
      </c>
      <c r="H708" s="59">
        <f t="shared" si="1"/>
        <v>0</v>
      </c>
      <c r="I708" s="39"/>
      <c r="J708" s="56">
        <v>400.0</v>
      </c>
      <c r="K708" s="60">
        <f t="shared" si="2"/>
        <v>34000</v>
      </c>
      <c r="L708" s="39"/>
      <c r="M708" s="59">
        <f t="shared" si="3"/>
        <v>0</v>
      </c>
      <c r="N708" s="69">
        <v>0.0</v>
      </c>
      <c r="O708" s="62">
        <f t="shared" si="4"/>
        <v>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4">
        <v>701.0</v>
      </c>
      <c r="C709" s="56" t="s">
        <v>749</v>
      </c>
      <c r="D709" s="74">
        <v>10000.0</v>
      </c>
      <c r="E709" s="56">
        <v>1.0</v>
      </c>
      <c r="F709" s="59">
        <f t="shared" si="6"/>
        <v>10000</v>
      </c>
      <c r="G709" s="56">
        <v>1.0</v>
      </c>
      <c r="H709" s="59">
        <f t="shared" si="1"/>
        <v>10000</v>
      </c>
      <c r="I709" s="39"/>
      <c r="J709" s="39"/>
      <c r="K709" s="60">
        <f t="shared" si="2"/>
        <v>0</v>
      </c>
      <c r="L709" s="39"/>
      <c r="M709" s="59">
        <f t="shared" si="3"/>
        <v>0</v>
      </c>
      <c r="N709" s="69">
        <v>1.0</v>
      </c>
      <c r="O709" s="62">
        <f t="shared" si="4"/>
        <v>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4">
        <v>702.0</v>
      </c>
      <c r="C710" s="56" t="s">
        <v>750</v>
      </c>
      <c r="D710" s="75">
        <v>10360.0</v>
      </c>
      <c r="E710" s="56">
        <v>1.0</v>
      </c>
      <c r="F710" s="59">
        <f t="shared" si="6"/>
        <v>10360</v>
      </c>
      <c r="G710" s="56">
        <v>1.0</v>
      </c>
      <c r="H710" s="59">
        <f t="shared" si="1"/>
        <v>10360</v>
      </c>
      <c r="I710" s="39"/>
      <c r="J710" s="39"/>
      <c r="K710" s="60">
        <f t="shared" si="2"/>
        <v>0</v>
      </c>
      <c r="L710" s="39"/>
      <c r="M710" s="59">
        <f t="shared" si="3"/>
        <v>0</v>
      </c>
      <c r="N710" s="69">
        <v>1.0</v>
      </c>
      <c r="O710" s="62">
        <f t="shared" si="4"/>
        <v>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4">
        <v>703.0</v>
      </c>
      <c r="C711" s="56" t="s">
        <v>751</v>
      </c>
      <c r="D711" s="75">
        <v>16666.67</v>
      </c>
      <c r="E711" s="56">
        <v>1.0</v>
      </c>
      <c r="F711" s="59">
        <f t="shared" si="6"/>
        <v>16666.67</v>
      </c>
      <c r="G711" s="56">
        <v>0.0</v>
      </c>
      <c r="H711" s="59">
        <f t="shared" si="1"/>
        <v>0</v>
      </c>
      <c r="I711" s="39"/>
      <c r="J711" s="56">
        <v>1.0</v>
      </c>
      <c r="K711" s="60">
        <f t="shared" si="2"/>
        <v>16666.67</v>
      </c>
      <c r="L711" s="39"/>
      <c r="M711" s="59">
        <f t="shared" si="3"/>
        <v>0</v>
      </c>
      <c r="N711" s="69">
        <v>0.0</v>
      </c>
      <c r="O711" s="62">
        <f t="shared" si="4"/>
        <v>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4">
        <v>704.0</v>
      </c>
      <c r="C712" s="56" t="s">
        <v>752</v>
      </c>
      <c r="D712" s="75">
        <v>22500.0</v>
      </c>
      <c r="E712" s="56">
        <v>3.0</v>
      </c>
      <c r="F712" s="59">
        <f t="shared" si="6"/>
        <v>67500</v>
      </c>
      <c r="G712" s="56">
        <v>6.0</v>
      </c>
      <c r="H712" s="59">
        <f t="shared" si="1"/>
        <v>135000</v>
      </c>
      <c r="I712" s="39"/>
      <c r="J712" s="56"/>
      <c r="K712" s="60">
        <f t="shared" si="2"/>
        <v>0</v>
      </c>
      <c r="L712" s="56">
        <v>3.0</v>
      </c>
      <c r="M712" s="59">
        <f t="shared" si="3"/>
        <v>67500</v>
      </c>
      <c r="N712" s="69">
        <v>6.0</v>
      </c>
      <c r="O712" s="62">
        <f t="shared" si="4"/>
        <v>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4">
        <v>705.0</v>
      </c>
      <c r="C713" s="56" t="s">
        <v>753</v>
      </c>
      <c r="D713" s="75">
        <v>30000.0</v>
      </c>
      <c r="E713" s="56">
        <v>1.0</v>
      </c>
      <c r="F713" s="59">
        <f t="shared" si="6"/>
        <v>30000</v>
      </c>
      <c r="G713" s="56">
        <v>0.0</v>
      </c>
      <c r="H713" s="59">
        <f t="shared" si="1"/>
        <v>0</v>
      </c>
      <c r="I713" s="39"/>
      <c r="J713" s="56">
        <v>1.0</v>
      </c>
      <c r="K713" s="60">
        <f t="shared" si="2"/>
        <v>30000</v>
      </c>
      <c r="L713" s="39"/>
      <c r="M713" s="59">
        <f t="shared" si="3"/>
        <v>0</v>
      </c>
      <c r="N713" s="69">
        <v>0.0</v>
      </c>
      <c r="O713" s="62">
        <f t="shared" si="4"/>
        <v>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4">
        <v>706.0</v>
      </c>
      <c r="C714" s="56" t="s">
        <v>754</v>
      </c>
      <c r="D714" s="75">
        <v>30000.0</v>
      </c>
      <c r="E714" s="56">
        <v>1.0</v>
      </c>
      <c r="F714" s="59">
        <f t="shared" si="6"/>
        <v>30000</v>
      </c>
      <c r="G714" s="56">
        <v>6.0</v>
      </c>
      <c r="H714" s="59">
        <f t="shared" si="1"/>
        <v>180000</v>
      </c>
      <c r="I714" s="39"/>
      <c r="J714" s="39"/>
      <c r="K714" s="60">
        <f t="shared" si="2"/>
        <v>0</v>
      </c>
      <c r="L714" s="56">
        <v>5.0</v>
      </c>
      <c r="M714" s="59">
        <f t="shared" si="3"/>
        <v>150000</v>
      </c>
      <c r="N714" s="69">
        <v>6.0</v>
      </c>
      <c r="O714" s="62">
        <f t="shared" si="4"/>
        <v>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4">
        <v>707.0</v>
      </c>
      <c r="C715" s="56" t="s">
        <v>755</v>
      </c>
      <c r="D715" s="75">
        <v>45000.0</v>
      </c>
      <c r="E715" s="56">
        <v>24.0</v>
      </c>
      <c r="F715" s="59">
        <f t="shared" si="6"/>
        <v>1080000</v>
      </c>
      <c r="G715" s="56">
        <v>1.0</v>
      </c>
      <c r="H715" s="59">
        <f t="shared" si="1"/>
        <v>45000</v>
      </c>
      <c r="I715" s="39"/>
      <c r="J715" s="56">
        <v>23.0</v>
      </c>
      <c r="K715" s="60">
        <f t="shared" si="2"/>
        <v>1035000</v>
      </c>
      <c r="L715" s="39"/>
      <c r="M715" s="59">
        <f t="shared" si="3"/>
        <v>0</v>
      </c>
      <c r="N715" s="69">
        <v>1.0</v>
      </c>
      <c r="O715" s="62">
        <f t="shared" si="4"/>
        <v>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4">
        <v>708.0</v>
      </c>
      <c r="C716" s="56" t="s">
        <v>756</v>
      </c>
      <c r="D716" s="75">
        <v>10000.0</v>
      </c>
      <c r="E716" s="56">
        <v>8.0</v>
      </c>
      <c r="F716" s="59">
        <f t="shared" si="6"/>
        <v>80000</v>
      </c>
      <c r="G716" s="56">
        <v>6.0</v>
      </c>
      <c r="H716" s="59">
        <f t="shared" si="1"/>
        <v>60000</v>
      </c>
      <c r="I716" s="39"/>
      <c r="J716" s="56">
        <v>2.0</v>
      </c>
      <c r="K716" s="60">
        <f t="shared" si="2"/>
        <v>20000</v>
      </c>
      <c r="L716" s="39"/>
      <c r="M716" s="59">
        <f t="shared" si="3"/>
        <v>0</v>
      </c>
      <c r="N716" s="69">
        <v>6.0</v>
      </c>
      <c r="O716" s="62">
        <f t="shared" si="4"/>
        <v>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4">
        <v>709.0</v>
      </c>
      <c r="C717" s="56" t="s">
        <v>757</v>
      </c>
      <c r="D717" s="75">
        <v>10000.0</v>
      </c>
      <c r="E717" s="56">
        <v>1.0</v>
      </c>
      <c r="F717" s="59">
        <f t="shared" si="6"/>
        <v>10000</v>
      </c>
      <c r="G717" s="56">
        <v>1.0</v>
      </c>
      <c r="H717" s="59">
        <f t="shared" si="1"/>
        <v>10000</v>
      </c>
      <c r="I717" s="39"/>
      <c r="J717" s="39"/>
      <c r="K717" s="60">
        <f t="shared" si="2"/>
        <v>0</v>
      </c>
      <c r="L717" s="39"/>
      <c r="M717" s="59">
        <f t="shared" si="3"/>
        <v>0</v>
      </c>
      <c r="N717" s="69">
        <v>1.0</v>
      </c>
      <c r="O717" s="62">
        <f t="shared" si="4"/>
        <v>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4">
        <v>710.0</v>
      </c>
      <c r="C718" s="56" t="s">
        <v>758</v>
      </c>
      <c r="D718" s="75">
        <v>16500.0</v>
      </c>
      <c r="E718" s="56">
        <v>6.0</v>
      </c>
      <c r="F718" s="59">
        <f t="shared" si="6"/>
        <v>99000</v>
      </c>
      <c r="G718" s="56">
        <v>0.0</v>
      </c>
      <c r="H718" s="59">
        <f t="shared" si="1"/>
        <v>0</v>
      </c>
      <c r="I718" s="39"/>
      <c r="J718" s="56">
        <v>6.0</v>
      </c>
      <c r="K718" s="60">
        <f t="shared" si="2"/>
        <v>99000</v>
      </c>
      <c r="L718" s="39"/>
      <c r="M718" s="59">
        <f t="shared" si="3"/>
        <v>0</v>
      </c>
      <c r="N718" s="69">
        <v>0.0</v>
      </c>
      <c r="O718" s="62">
        <f t="shared" si="4"/>
        <v>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4">
        <v>711.0</v>
      </c>
      <c r="C719" s="56" t="s">
        <v>759</v>
      </c>
      <c r="D719" s="75">
        <v>315000.0</v>
      </c>
      <c r="E719" s="56">
        <v>1.0</v>
      </c>
      <c r="F719" s="59">
        <f t="shared" si="6"/>
        <v>315000</v>
      </c>
      <c r="G719" s="56">
        <v>0.0</v>
      </c>
      <c r="H719" s="59">
        <f t="shared" si="1"/>
        <v>0</v>
      </c>
      <c r="I719" s="39"/>
      <c r="J719" s="56">
        <v>1.0</v>
      </c>
      <c r="K719" s="60">
        <f t="shared" si="2"/>
        <v>315000</v>
      </c>
      <c r="L719" s="39"/>
      <c r="M719" s="59">
        <f t="shared" si="3"/>
        <v>0</v>
      </c>
      <c r="N719" s="69">
        <v>0.0</v>
      </c>
      <c r="O719" s="62">
        <f t="shared" si="4"/>
        <v>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4">
        <v>712.0</v>
      </c>
      <c r="C720" s="56" t="s">
        <v>760</v>
      </c>
      <c r="D720" s="75">
        <v>1000.0</v>
      </c>
      <c r="E720" s="56">
        <v>1.0</v>
      </c>
      <c r="F720" s="59">
        <f t="shared" si="6"/>
        <v>1000</v>
      </c>
      <c r="G720" s="56">
        <v>1.0</v>
      </c>
      <c r="H720" s="59">
        <f t="shared" si="1"/>
        <v>1000</v>
      </c>
      <c r="I720" s="39"/>
      <c r="J720" s="39"/>
      <c r="K720" s="60">
        <f t="shared" si="2"/>
        <v>0</v>
      </c>
      <c r="L720" s="39"/>
      <c r="M720" s="59">
        <f t="shared" si="3"/>
        <v>0</v>
      </c>
      <c r="N720" s="69">
        <v>1.0</v>
      </c>
      <c r="O720" s="62">
        <f t="shared" si="4"/>
        <v>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4">
        <v>713.0</v>
      </c>
      <c r="C721" s="56" t="s">
        <v>761</v>
      </c>
      <c r="D721" s="75">
        <v>10000.0</v>
      </c>
      <c r="E721" s="56">
        <v>1.0</v>
      </c>
      <c r="F721" s="59">
        <f t="shared" si="6"/>
        <v>10000</v>
      </c>
      <c r="G721" s="56">
        <v>141.0</v>
      </c>
      <c r="H721" s="59">
        <f t="shared" si="1"/>
        <v>1410000</v>
      </c>
      <c r="I721" s="39"/>
      <c r="J721" s="39"/>
      <c r="K721" s="60">
        <f t="shared" si="2"/>
        <v>0</v>
      </c>
      <c r="L721" s="56">
        <v>140.0</v>
      </c>
      <c r="M721" s="59">
        <f t="shared" si="3"/>
        <v>1400000</v>
      </c>
      <c r="N721" s="69">
        <v>141.0</v>
      </c>
      <c r="O721" s="62">
        <f t="shared" si="4"/>
        <v>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4">
        <v>714.0</v>
      </c>
      <c r="C722" s="56" t="s">
        <v>762</v>
      </c>
      <c r="D722" s="75">
        <v>15500.0</v>
      </c>
      <c r="E722" s="56">
        <v>1.0</v>
      </c>
      <c r="F722" s="59">
        <f t="shared" si="6"/>
        <v>15500</v>
      </c>
      <c r="G722" s="56">
        <v>2.0</v>
      </c>
      <c r="H722" s="59">
        <f t="shared" si="1"/>
        <v>31000</v>
      </c>
      <c r="I722" s="39"/>
      <c r="J722" s="39"/>
      <c r="K722" s="60">
        <f t="shared" si="2"/>
        <v>0</v>
      </c>
      <c r="L722" s="56">
        <v>1.0</v>
      </c>
      <c r="M722" s="59">
        <f t="shared" si="3"/>
        <v>15500</v>
      </c>
      <c r="N722" s="69">
        <v>2.0</v>
      </c>
      <c r="O722" s="62">
        <f t="shared" si="4"/>
        <v>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4">
        <v>715.0</v>
      </c>
      <c r="C723" s="56" t="s">
        <v>763</v>
      </c>
      <c r="D723" s="75">
        <v>2900.0</v>
      </c>
      <c r="E723" s="56">
        <v>141.0</v>
      </c>
      <c r="F723" s="59">
        <f t="shared" si="6"/>
        <v>408900</v>
      </c>
      <c r="G723" s="56">
        <v>1.0</v>
      </c>
      <c r="H723" s="59">
        <f t="shared" si="1"/>
        <v>2900</v>
      </c>
      <c r="I723" s="39"/>
      <c r="J723" s="56">
        <v>140.0</v>
      </c>
      <c r="K723" s="60">
        <f t="shared" si="2"/>
        <v>406000</v>
      </c>
      <c r="L723" s="39"/>
      <c r="M723" s="59">
        <f t="shared" si="3"/>
        <v>0</v>
      </c>
      <c r="N723" s="69">
        <v>1.0</v>
      </c>
      <c r="O723" s="62">
        <f t="shared" si="4"/>
        <v>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4">
        <v>716.0</v>
      </c>
      <c r="C724" s="56" t="s">
        <v>764</v>
      </c>
      <c r="D724" s="75">
        <v>3500.0</v>
      </c>
      <c r="E724" s="56">
        <v>2.0</v>
      </c>
      <c r="F724" s="59">
        <f t="shared" si="6"/>
        <v>7000</v>
      </c>
      <c r="G724" s="56">
        <v>6.0</v>
      </c>
      <c r="H724" s="59">
        <f t="shared" si="1"/>
        <v>21000</v>
      </c>
      <c r="I724" s="39"/>
      <c r="J724" s="39"/>
      <c r="K724" s="60">
        <f t="shared" si="2"/>
        <v>0</v>
      </c>
      <c r="L724" s="56">
        <v>4.0</v>
      </c>
      <c r="M724" s="59">
        <f t="shared" si="3"/>
        <v>14000</v>
      </c>
      <c r="N724" s="69">
        <v>6.0</v>
      </c>
      <c r="O724" s="62">
        <f t="shared" si="4"/>
        <v>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4">
        <v>717.0</v>
      </c>
      <c r="C725" s="56" t="s">
        <v>765</v>
      </c>
      <c r="D725" s="75">
        <v>5855.86</v>
      </c>
      <c r="E725" s="56">
        <v>1.0</v>
      </c>
      <c r="F725" s="59">
        <f t="shared" si="6"/>
        <v>5855.86</v>
      </c>
      <c r="G725" s="56">
        <v>1.0</v>
      </c>
      <c r="H725" s="59">
        <f t="shared" si="1"/>
        <v>5855.86</v>
      </c>
      <c r="I725" s="39"/>
      <c r="J725" s="39"/>
      <c r="K725" s="60">
        <f t="shared" si="2"/>
        <v>0</v>
      </c>
      <c r="L725" s="39"/>
      <c r="M725" s="59">
        <f t="shared" si="3"/>
        <v>0</v>
      </c>
      <c r="N725" s="69">
        <v>1.0</v>
      </c>
      <c r="O725" s="62">
        <f t="shared" si="4"/>
        <v>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4">
        <v>718.0</v>
      </c>
      <c r="C726" s="56" t="s">
        <v>766</v>
      </c>
      <c r="D726" s="75">
        <v>15000.0</v>
      </c>
      <c r="E726" s="56">
        <v>5.0</v>
      </c>
      <c r="F726" s="59">
        <f t="shared" si="6"/>
        <v>75000</v>
      </c>
      <c r="G726" s="56">
        <v>3.0</v>
      </c>
      <c r="H726" s="59">
        <f t="shared" si="1"/>
        <v>45000</v>
      </c>
      <c r="I726" s="39"/>
      <c r="J726" s="56">
        <v>2.0</v>
      </c>
      <c r="K726" s="60">
        <f t="shared" si="2"/>
        <v>30000</v>
      </c>
      <c r="L726" s="39"/>
      <c r="M726" s="59">
        <f t="shared" si="3"/>
        <v>0</v>
      </c>
      <c r="N726" s="69">
        <v>3.0</v>
      </c>
      <c r="O726" s="62">
        <f t="shared" si="4"/>
        <v>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64"/>
      <c r="D727" s="75"/>
      <c r="E727" s="62"/>
      <c r="F727" s="75"/>
      <c r="G727" s="62"/>
      <c r="H727" s="75"/>
      <c r="I727" s="3"/>
      <c r="J727" s="62"/>
      <c r="K727" s="75"/>
      <c r="L727" s="3"/>
      <c r="M727" s="75"/>
      <c r="N727" s="1"/>
      <c r="O727" s="6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64"/>
      <c r="D728" s="75"/>
      <c r="E728" s="62"/>
      <c r="F728" s="75">
        <f>SUM(F7:F726)</f>
        <v>3264739940</v>
      </c>
      <c r="G728" s="62"/>
      <c r="H728" s="75">
        <f>SUM(H7:H726)</f>
        <v>2989778193</v>
      </c>
      <c r="I728" s="3"/>
      <c r="J728" s="62"/>
      <c r="K728" s="75">
        <f>SUM(K7:K726)</f>
        <v>3316809.385</v>
      </c>
      <c r="L728" s="3"/>
      <c r="M728" s="75">
        <f>SUM(M7:M726)</f>
        <v>30984153.28</v>
      </c>
      <c r="N728" s="1"/>
      <c r="O728" s="6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64"/>
      <c r="D729" s="76"/>
      <c r="E729" s="64"/>
      <c r="F729" s="77"/>
      <c r="G729" s="64"/>
      <c r="H729" s="78"/>
      <c r="I729" s="79"/>
      <c r="J729" s="80"/>
      <c r="K729" s="81"/>
      <c r="L729" s="79"/>
      <c r="M729" s="78"/>
      <c r="N729" s="79"/>
      <c r="O729" s="6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64"/>
      <c r="D730" s="76"/>
      <c r="E730" s="64"/>
      <c r="F730" s="77"/>
      <c r="G730" s="64"/>
      <c r="H730" s="78"/>
      <c r="I730" s="79"/>
      <c r="J730" s="80"/>
      <c r="K730" s="81"/>
      <c r="L730" s="79"/>
      <c r="M730" s="78"/>
      <c r="N730" s="79"/>
      <c r="O730" s="6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64"/>
      <c r="D731" s="76"/>
      <c r="E731" s="64"/>
      <c r="F731" s="77"/>
      <c r="G731" s="64"/>
      <c r="H731" s="78"/>
      <c r="I731" s="79"/>
      <c r="J731" s="80"/>
      <c r="K731" s="81"/>
      <c r="L731" s="79"/>
      <c r="M731" s="78"/>
      <c r="N731" s="79"/>
      <c r="O731" s="6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64"/>
      <c r="D732" s="76"/>
      <c r="E732" s="64"/>
      <c r="F732" s="77"/>
      <c r="G732" s="64"/>
      <c r="H732" s="78"/>
      <c r="I732" s="79"/>
      <c r="J732" s="80"/>
      <c r="K732" s="81"/>
      <c r="L732" s="79"/>
      <c r="M732" s="78"/>
      <c r="N732" s="79"/>
      <c r="O732" s="6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64"/>
      <c r="D733" s="76"/>
      <c r="E733" s="64"/>
      <c r="F733" s="77"/>
      <c r="G733" s="64"/>
      <c r="H733" s="77"/>
      <c r="I733" s="1"/>
      <c r="J733" s="64"/>
      <c r="K733" s="82"/>
      <c r="L733" s="1"/>
      <c r="M733" s="77"/>
      <c r="N733" s="1"/>
      <c r="O733" s="6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64"/>
      <c r="D734" s="76"/>
      <c r="E734" s="64"/>
      <c r="F734" s="77"/>
      <c r="G734" s="64"/>
      <c r="H734" s="77"/>
      <c r="I734" s="1"/>
      <c r="J734" s="64"/>
      <c r="K734" s="82"/>
      <c r="L734" s="1"/>
      <c r="M734" s="77"/>
      <c r="N734" s="1"/>
      <c r="O734" s="6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64"/>
      <c r="D735" s="76"/>
      <c r="E735" s="64"/>
      <c r="F735" s="77"/>
      <c r="G735" s="64"/>
      <c r="H735" s="77"/>
      <c r="I735" s="1"/>
      <c r="J735" s="64"/>
      <c r="K735" s="82"/>
      <c r="L735" s="1"/>
      <c r="M735" s="77"/>
      <c r="N735" s="1"/>
      <c r="O735" s="6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</sheetData>
  <autoFilter ref="$J$8:$L$728"/>
  <mergeCells count="11">
    <mergeCell ref="G7:G8"/>
    <mergeCell ref="H7:H8"/>
    <mergeCell ref="I7:I8"/>
    <mergeCell ref="J7:L7"/>
    <mergeCell ref="B2:L2"/>
    <mergeCell ref="B3:L3"/>
    <mergeCell ref="B5:C5"/>
    <mergeCell ref="B7:B8"/>
    <mergeCell ref="D7:D8"/>
    <mergeCell ref="E7:E8"/>
    <mergeCell ref="F7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L1" s="5"/>
    </row>
    <row r="2">
      <c r="A2" s="7" t="s">
        <v>1</v>
      </c>
      <c r="L2" s="5"/>
    </row>
    <row r="3">
      <c r="A3" s="4"/>
      <c r="B3" s="4"/>
      <c r="C3" s="4"/>
      <c r="D3" s="4"/>
      <c r="E3" s="9"/>
      <c r="F3" s="10"/>
      <c r="G3" s="4"/>
      <c r="H3" s="4"/>
      <c r="I3" s="4"/>
      <c r="J3" s="4"/>
      <c r="K3" s="4"/>
      <c r="L3" s="4"/>
    </row>
    <row r="4">
      <c r="A4" s="12" t="s">
        <v>2</v>
      </c>
      <c r="B4" s="14"/>
      <c r="C4" s="5"/>
      <c r="D4" s="15"/>
      <c r="E4" s="16"/>
      <c r="F4" s="17"/>
      <c r="G4" s="15"/>
      <c r="H4" s="15"/>
      <c r="I4" s="15"/>
      <c r="J4" s="15"/>
      <c r="K4" s="15"/>
      <c r="L4" s="15"/>
    </row>
    <row r="5">
      <c r="A5" s="15"/>
      <c r="B5" s="19" t="s">
        <v>4</v>
      </c>
      <c r="C5" s="15"/>
      <c r="D5" s="15"/>
      <c r="E5" s="16"/>
      <c r="F5" s="17"/>
      <c r="G5" s="15"/>
      <c r="H5" s="15"/>
      <c r="I5" s="15"/>
      <c r="J5" s="15"/>
      <c r="K5" s="15"/>
      <c r="L5" s="15"/>
    </row>
    <row r="6">
      <c r="A6" s="22" t="s">
        <v>5</v>
      </c>
      <c r="B6" s="24" t="s">
        <v>6</v>
      </c>
      <c r="C6" s="27" t="s">
        <v>8</v>
      </c>
      <c r="D6" s="26" t="s">
        <v>9</v>
      </c>
      <c r="E6" s="30"/>
      <c r="F6" s="33" t="s">
        <v>12</v>
      </c>
      <c r="G6" s="29" t="s">
        <v>11</v>
      </c>
      <c r="H6" s="35" t="s">
        <v>16</v>
      </c>
      <c r="I6" s="40" t="s">
        <v>18</v>
      </c>
      <c r="J6" s="38"/>
      <c r="K6" s="41"/>
      <c r="L6" s="45"/>
    </row>
    <row r="7">
      <c r="A7" s="42"/>
      <c r="B7" s="48" t="s">
        <v>21</v>
      </c>
      <c r="C7" s="44"/>
      <c r="D7" s="42"/>
      <c r="E7" s="51"/>
      <c r="F7" s="42"/>
      <c r="G7" s="46"/>
      <c r="H7" s="47"/>
      <c r="I7" s="53" t="s">
        <v>24</v>
      </c>
      <c r="J7" s="53" t="s">
        <v>11</v>
      </c>
      <c r="K7" s="40" t="s">
        <v>26</v>
      </c>
      <c r="L7" s="53" t="s">
        <v>11</v>
      </c>
    </row>
  </sheetData>
  <mergeCells count="10">
    <mergeCell ref="G6:G7"/>
    <mergeCell ref="H6:H7"/>
    <mergeCell ref="A1:K1"/>
    <mergeCell ref="A2:K2"/>
    <mergeCell ref="A4:B4"/>
    <mergeCell ref="A6:A7"/>
    <mergeCell ref="C6:C7"/>
    <mergeCell ref="D6:D7"/>
    <mergeCell ref="F6:F7"/>
    <mergeCell ref="I6:K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25" t="s">
        <v>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28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28" t="s">
        <v>13</v>
      </c>
      <c r="F11" s="28" t="s"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32" t="s">
        <v>15</v>
      </c>
      <c r="F12" s="34">
        <v>1.0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32" t="s">
        <v>17</v>
      </c>
      <c r="F13" s="34">
        <v>4.0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37" t="s">
        <v>19</v>
      </c>
      <c r="F14" s="34">
        <v>1.0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37" t="s">
        <v>20</v>
      </c>
      <c r="F15" s="34">
        <v>1.0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32" t="s">
        <v>22</v>
      </c>
      <c r="F16" s="34">
        <v>1.0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32" t="s">
        <v>23</v>
      </c>
      <c r="F17" s="34">
        <v>1.0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32" t="s">
        <v>25</v>
      </c>
      <c r="F18" s="34">
        <v>1.0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32" t="s">
        <v>27</v>
      </c>
      <c r="F19" s="34">
        <v>1.0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32" t="s">
        <v>28</v>
      </c>
      <c r="F20" s="34">
        <v>1.0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32" t="s">
        <v>31</v>
      </c>
      <c r="F21" s="34">
        <v>1.0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32" t="s">
        <v>32</v>
      </c>
      <c r="F22" s="34">
        <v>2.0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32" t="s">
        <v>33</v>
      </c>
      <c r="F23" s="34">
        <v>1.0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28" t="s">
        <v>34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32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32" t="s">
        <v>36</v>
      </c>
      <c r="F26" s="34">
        <v>1.0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32" t="s">
        <v>37</v>
      </c>
      <c r="F27" s="34">
        <v>3.0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32" t="s">
        <v>38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32" t="s">
        <v>39</v>
      </c>
      <c r="F29" s="34">
        <v>1.0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32" t="s">
        <v>40</v>
      </c>
      <c r="F30" s="34">
        <v>3.0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28" t="s">
        <v>41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32" t="s">
        <v>42</v>
      </c>
      <c r="F32" s="34">
        <v>2.0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28" t="s">
        <v>44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 t="s">
        <v>45</v>
      </c>
      <c r="F34" s="34">
        <v>16.0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28" t="s">
        <v>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 t="s">
        <v>47</v>
      </c>
      <c r="F36" s="34">
        <v>1.0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 t="s">
        <v>48</v>
      </c>
      <c r="F37" s="34">
        <v>2.0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64" t="s">
        <v>50</v>
      </c>
      <c r="F38" s="34">
        <v>4.0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65" t="s">
        <v>52</v>
      </c>
      <c r="F40" s="66">
        <v>49.0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E9:F9"/>
    <mergeCell ref="E10:F10"/>
    <mergeCell ref="E24:F24"/>
    <mergeCell ref="E31:F31"/>
    <mergeCell ref="E33:F33"/>
    <mergeCell ref="E35:F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2025-09-29T04:22:23Z</dcterms:created>
  <dc:creator>Windows 7</dc:creator>
</cp:coreProperties>
</file>