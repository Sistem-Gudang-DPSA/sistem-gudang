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R\DPSA\00 DAFTAR HARGA\00 MASTER ALL\"/>
    </mc:Choice>
  </mc:AlternateContent>
  <bookViews>
    <workbookView xWindow="0" yWindow="0" windowWidth="25125" windowHeight="11850" activeTab="2"/>
  </bookViews>
  <sheets>
    <sheet name="LEMBARAN " sheetId="11" r:id="rId1"/>
    <sheet name="PERABOT " sheetId="20" r:id="rId2"/>
    <sheet name="FINISHING" sheetId="21" r:id="rId3"/>
    <sheet name="LAMPU " sheetId="16" r:id="rId4"/>
    <sheet name="KURSI " sheetId="18" r:id="rId5"/>
    <sheet name="SOLID SURFACER " sheetId="15" r:id="rId6"/>
    <sheet name="TULISAN " sheetId="22" r:id="rId7"/>
  </sheets>
  <definedNames>
    <definedName name="_xlnm._FilterDatabase" localSheetId="2" hidden="1">FINISHING!$B$2:$B$53</definedName>
    <definedName name="_xlnm._FilterDatabase" localSheetId="0" hidden="1">'LEMBARAN '!$B$2:$B$139</definedName>
    <definedName name="_xlnm._FilterDatabase" localSheetId="1" hidden="1">'PERABOT '!$B$2:$B$151</definedName>
    <definedName name="_xlnm.Print_Area" localSheetId="2">FINISHING!$A$2:$V$60</definedName>
    <definedName name="_xlnm.Print_Area" localSheetId="4">'KURSI '!$A$2:$T$20</definedName>
    <definedName name="_xlnm.Print_Area" localSheetId="3">'LAMPU '!$A$2:$F$30</definedName>
    <definedName name="_xlnm.Print_Area" localSheetId="0">'LEMBARAN '!$A$2:$Y$147</definedName>
    <definedName name="_xlnm.Print_Area" localSheetId="1">'PERABOT '!$A$2:$X$159</definedName>
    <definedName name="_xlnm.Print_Area" localSheetId="5">'SOLID SURFACER '!$A$2:$B$12</definedName>
    <definedName name="_xlnm.Print_Area" localSheetId="6">'TULISAN '!$A$2:$B$16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5" i="11" l="1" a="1"/>
  <c r="T105" i="11" s="1"/>
  <c r="T103" i="11" a="1"/>
  <c r="T103" i="11" s="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7" i="21"/>
  <c r="T8" i="11" l="1" a="1"/>
  <c r="T8" i="11" s="1"/>
  <c r="T9" i="11" a="1"/>
  <c r="T9" i="11"/>
  <c r="T10" i="11" a="1"/>
  <c r="T10" i="11" s="1"/>
  <c r="T11" i="11" a="1"/>
  <c r="T11" i="11"/>
  <c r="T12" i="11" a="1"/>
  <c r="T12" i="11" s="1"/>
  <c r="T13" i="11" a="1"/>
  <c r="T13" i="11" s="1"/>
  <c r="T14" i="11" a="1"/>
  <c r="T14" i="11" s="1"/>
  <c r="T15" i="11" a="1"/>
  <c r="T15" i="11"/>
  <c r="T16" i="11" a="1"/>
  <c r="T16" i="11" s="1"/>
  <c r="T17" i="11" a="1"/>
  <c r="T17" i="11" s="1"/>
  <c r="T18" i="11" a="1"/>
  <c r="T18" i="11" s="1"/>
  <c r="T19" i="11" a="1"/>
  <c r="T19" i="11" s="1"/>
  <c r="T20" i="11" a="1"/>
  <c r="T20" i="11" s="1"/>
  <c r="T21" i="11" a="1"/>
  <c r="T21" i="11"/>
  <c r="T22" i="11" a="1"/>
  <c r="T22" i="11" s="1"/>
  <c r="T23" i="11" a="1"/>
  <c r="T23" i="11" s="1"/>
  <c r="T24" i="11" a="1"/>
  <c r="T24" i="11" s="1"/>
  <c r="T25" i="11" a="1"/>
  <c r="T25" i="11" s="1"/>
  <c r="T26" i="11" a="1"/>
  <c r="T26" i="11" s="1"/>
  <c r="T27" i="11" a="1"/>
  <c r="T27" i="11" s="1"/>
  <c r="T28" i="11" a="1"/>
  <c r="T28" i="11" s="1"/>
  <c r="T29" i="11" a="1"/>
  <c r="T29" i="11" s="1"/>
  <c r="T30" i="11" a="1"/>
  <c r="T30" i="11" s="1"/>
  <c r="T31" i="11" a="1"/>
  <c r="T31" i="11" s="1"/>
  <c r="T32" i="11" a="1"/>
  <c r="T32" i="11" s="1"/>
  <c r="T33" i="11" a="1"/>
  <c r="T33" i="11"/>
  <c r="T34" i="11" a="1"/>
  <c r="T34" i="11" s="1"/>
  <c r="T35" i="11" a="1"/>
  <c r="T35" i="11" s="1"/>
  <c r="T36" i="11" a="1"/>
  <c r="T36" i="11" s="1"/>
  <c r="T37" i="11" a="1"/>
  <c r="T37" i="11" s="1"/>
  <c r="T38" i="11" a="1"/>
  <c r="T38" i="11" s="1"/>
  <c r="T39" i="11" a="1"/>
  <c r="T39" i="11"/>
  <c r="T40" i="11" a="1"/>
  <c r="T40" i="11" s="1"/>
  <c r="T41" i="11" a="1"/>
  <c r="T41" i="11"/>
  <c r="T42" i="11" a="1"/>
  <c r="T42" i="11" s="1"/>
  <c r="T43" i="11" a="1"/>
  <c r="T43" i="11" s="1"/>
  <c r="T44" i="11" a="1"/>
  <c r="T44" i="11" s="1"/>
  <c r="T45" i="11" a="1"/>
  <c r="T45" i="11"/>
  <c r="T46" i="11" a="1"/>
  <c r="T46" i="11" s="1"/>
  <c r="T47" i="11" a="1"/>
  <c r="T47" i="11"/>
  <c r="T48" i="11" a="1"/>
  <c r="T48" i="11" s="1"/>
  <c r="T49" i="11" a="1"/>
  <c r="T49" i="11" s="1"/>
  <c r="T50" i="11" a="1"/>
  <c r="T50" i="11" s="1"/>
  <c r="T51" i="11" a="1"/>
  <c r="T51" i="11" s="1"/>
  <c r="T52" i="11" a="1"/>
  <c r="T52" i="11" s="1"/>
  <c r="T53" i="11" a="1"/>
  <c r="T53" i="11" s="1"/>
  <c r="T54" i="11" a="1"/>
  <c r="T54" i="11" s="1"/>
  <c r="T55" i="11" a="1"/>
  <c r="T55" i="11" s="1"/>
  <c r="T56" i="11" a="1"/>
  <c r="T56" i="11" s="1"/>
  <c r="T57" i="11" a="1"/>
  <c r="T57" i="11" s="1"/>
  <c r="T58" i="11" a="1"/>
  <c r="T58" i="11" s="1"/>
  <c r="T59" i="11" a="1"/>
  <c r="T59" i="11" s="1"/>
  <c r="T60" i="11" a="1"/>
  <c r="T60" i="11" s="1"/>
  <c r="T61" i="11" a="1"/>
  <c r="T61" i="11" s="1"/>
  <c r="T62" i="11" a="1"/>
  <c r="T62" i="11" s="1"/>
  <c r="T63" i="11" a="1"/>
  <c r="T63" i="11" s="1"/>
  <c r="T64" i="11" a="1"/>
  <c r="T64" i="11" s="1"/>
  <c r="T65" i="11" a="1"/>
  <c r="T65" i="11"/>
  <c r="T66" i="11" a="1"/>
  <c r="T66" i="11" s="1"/>
  <c r="T67" i="11" a="1"/>
  <c r="T67" i="11" s="1"/>
  <c r="T68" i="11" a="1"/>
  <c r="T68" i="11" s="1"/>
  <c r="T69" i="11" a="1"/>
  <c r="T69" i="11" s="1"/>
  <c r="T70" i="11" a="1"/>
  <c r="T70" i="11" s="1"/>
  <c r="T71" i="11" a="1"/>
  <c r="T71" i="11" s="1"/>
  <c r="T72" i="11" a="1"/>
  <c r="T72" i="11" s="1"/>
  <c r="T75" i="11" a="1"/>
  <c r="T75" i="11" s="1"/>
  <c r="T76" i="11" a="1"/>
  <c r="T76" i="11" s="1"/>
  <c r="T77" i="11" a="1"/>
  <c r="T77" i="11" s="1"/>
  <c r="T78" i="11" a="1"/>
  <c r="T78" i="11" s="1"/>
  <c r="T79" i="11" a="1"/>
  <c r="T79" i="11" s="1"/>
  <c r="T80" i="11" a="1"/>
  <c r="T80" i="11" s="1"/>
  <c r="T81" i="11" a="1"/>
  <c r="T81" i="11" s="1"/>
  <c r="T82" i="11" a="1"/>
  <c r="T82" i="11" s="1"/>
  <c r="T83" i="11" a="1"/>
  <c r="T83" i="11" s="1"/>
  <c r="T84" i="11" a="1"/>
  <c r="T84" i="11" s="1"/>
  <c r="T85" i="11" a="1"/>
  <c r="T85" i="11" s="1"/>
  <c r="T86" i="11" a="1"/>
  <c r="T86" i="11" s="1"/>
  <c r="T87" i="11" a="1"/>
  <c r="T87" i="11" s="1"/>
  <c r="T88" i="11" a="1"/>
  <c r="T88" i="11" s="1"/>
  <c r="T89" i="11" a="1"/>
  <c r="T89" i="11"/>
  <c r="T90" i="11" a="1"/>
  <c r="T90" i="11" s="1"/>
  <c r="T91" i="11" a="1"/>
  <c r="T91" i="11" s="1"/>
  <c r="T92" i="11" a="1"/>
  <c r="T92" i="11" s="1"/>
  <c r="T93" i="11" a="1"/>
  <c r="T93" i="11" s="1"/>
  <c r="T94" i="11" a="1"/>
  <c r="T94" i="11" s="1"/>
  <c r="T95" i="11" a="1"/>
  <c r="T95" i="11" s="1"/>
  <c r="T96" i="11" a="1"/>
  <c r="T96" i="11" s="1"/>
  <c r="T97" i="11" a="1"/>
  <c r="T97" i="11"/>
  <c r="T98" i="11" a="1"/>
  <c r="T98" i="11" s="1"/>
  <c r="T99" i="11" a="1"/>
  <c r="T99" i="11" s="1"/>
  <c r="T100" i="11" a="1"/>
  <c r="T100" i="11" s="1"/>
  <c r="T101" i="11" a="1"/>
  <c r="T101" i="11" s="1"/>
  <c r="T102" i="11" a="1"/>
  <c r="T102" i="11" s="1"/>
  <c r="T104" i="11" a="1"/>
  <c r="T104" i="11"/>
  <c r="T106" i="11" a="1"/>
  <c r="T106" i="11" s="1"/>
  <c r="T107" i="11" a="1"/>
  <c r="T107" i="11"/>
  <c r="T108" i="11" a="1"/>
  <c r="T108" i="11" s="1"/>
  <c r="T110" i="11" a="1"/>
  <c r="T110" i="11" s="1"/>
  <c r="T111" i="11" a="1"/>
  <c r="T111" i="11" s="1"/>
  <c r="T112" i="11" a="1"/>
  <c r="T112" i="11"/>
  <c r="T113" i="11" a="1"/>
  <c r="T113" i="11" s="1"/>
  <c r="T114" i="11" a="1"/>
  <c r="T114" i="11" s="1"/>
  <c r="T115" i="11" a="1"/>
  <c r="T115" i="11" s="1"/>
  <c r="T116" i="11" a="1"/>
  <c r="T116" i="11" s="1"/>
  <c r="T117" i="11" a="1"/>
  <c r="T117" i="11" s="1"/>
  <c r="T118" i="11" a="1"/>
  <c r="T118" i="11" s="1"/>
  <c r="T119" i="11" a="1"/>
  <c r="T119" i="11" s="1"/>
  <c r="T120" i="11" a="1"/>
  <c r="T120" i="11" s="1"/>
  <c r="T121" i="11" a="1"/>
  <c r="T121" i="11" s="1"/>
  <c r="T122" i="11" a="1"/>
  <c r="T122" i="11" s="1"/>
  <c r="T123" i="11" a="1"/>
  <c r="T123" i="11" s="1"/>
  <c r="T124" i="11" a="1"/>
  <c r="T124" i="11" s="1"/>
  <c r="T125" i="11" a="1"/>
  <c r="T125" i="11" s="1"/>
  <c r="T126" i="11" a="1"/>
  <c r="T126" i="11" s="1"/>
  <c r="T127" i="11" a="1"/>
  <c r="T127" i="11" s="1"/>
  <c r="T128" i="11" a="1"/>
  <c r="T128" i="11" s="1"/>
  <c r="T129" i="11" a="1"/>
  <c r="T129" i="11" s="1"/>
  <c r="T130" i="11" a="1"/>
  <c r="T130" i="11"/>
  <c r="T131" i="11" a="1"/>
  <c r="T131" i="11" s="1"/>
  <c r="T132" i="11" a="1"/>
  <c r="T132" i="11"/>
  <c r="T133" i="11" a="1"/>
  <c r="T133" i="11" s="1"/>
  <c r="T134" i="11" a="1"/>
  <c r="T134" i="11" s="1"/>
  <c r="T135" i="11" a="1"/>
  <c r="T135" i="11" s="1"/>
  <c r="T136" i="11" a="1"/>
  <c r="T136" i="11"/>
  <c r="T137" i="11" a="1"/>
  <c r="T137" i="11" s="1"/>
  <c r="T138" i="11" a="1"/>
  <c r="T138" i="11"/>
  <c r="T139" i="11" a="1"/>
  <c r="T139" i="11" s="1"/>
  <c r="T7" i="11" a="1"/>
  <c r="T7" i="11" s="1"/>
  <c r="S10" i="20" l="1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7" i="20"/>
  <c r="S68" i="20"/>
  <c r="S69" i="20"/>
  <c r="S70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8" i="20"/>
  <c r="S9" i="20"/>
  <c r="S7" i="20"/>
  <c r="R11" i="18" l="1"/>
  <c r="R10" i="18"/>
  <c r="R9" i="18"/>
  <c r="R8" i="18"/>
  <c r="V71" i="11"/>
  <c r="V50" i="11" l="1"/>
  <c r="V43" i="11"/>
  <c r="U23" i="20"/>
  <c r="U64" i="20"/>
  <c r="U21" i="20"/>
  <c r="U143" i="20"/>
  <c r="U144" i="20"/>
  <c r="U43" i="20" l="1"/>
  <c r="U42" i="20"/>
  <c r="U41" i="20"/>
  <c r="U117" i="20"/>
  <c r="T11" i="18" l="1"/>
  <c r="T9" i="18"/>
  <c r="T10" i="18"/>
  <c r="T8" i="18"/>
  <c r="U50" i="20"/>
  <c r="U49" i="20"/>
  <c r="U48" i="20"/>
  <c r="V81" i="11"/>
  <c r="V80" i="11"/>
  <c r="V79" i="11"/>
  <c r="V27" i="21"/>
  <c r="V28" i="21"/>
  <c r="V18" i="21"/>
  <c r="V19" i="21"/>
  <c r="V16" i="21"/>
  <c r="V11" i="21"/>
  <c r="V12" i="21"/>
  <c r="R73" i="11" l="1"/>
  <c r="T73" i="11" s="1" a="1"/>
  <c r="T73" i="11" s="1"/>
  <c r="R74" i="11"/>
  <c r="T74" i="11" s="1" a="1"/>
  <c r="T74" i="11" s="1"/>
  <c r="V130" i="11"/>
  <c r="U138" i="20" l="1"/>
  <c r="U139" i="20"/>
  <c r="U140" i="20"/>
  <c r="U141" i="20"/>
  <c r="U142" i="20"/>
  <c r="U12" i="20"/>
  <c r="U13" i="20"/>
  <c r="U15" i="20"/>
  <c r="G71" i="20"/>
  <c r="S71" i="20" s="1"/>
  <c r="G75" i="20"/>
  <c r="S75" i="20" s="1"/>
  <c r="U51" i="20"/>
  <c r="U40" i="20"/>
  <c r="U60" i="20"/>
  <c r="U85" i="20" l="1"/>
  <c r="U34" i="20" l="1"/>
  <c r="V45" i="21"/>
  <c r="V48" i="21"/>
  <c r="V49" i="21"/>
  <c r="V50" i="21"/>
  <c r="V51" i="21"/>
  <c r="V47" i="21"/>
  <c r="H15" i="21"/>
  <c r="AA30" i="21"/>
  <c r="U115" i="20"/>
  <c r="G74" i="20" l="1"/>
  <c r="S74" i="20" s="1"/>
  <c r="V7" i="21"/>
  <c r="V46" i="21"/>
  <c r="V44" i="21"/>
  <c r="V43" i="21"/>
  <c r="V42" i="21"/>
  <c r="V41" i="21"/>
  <c r="V40" i="21"/>
  <c r="V39" i="21"/>
  <c r="V38" i="21"/>
  <c r="V37" i="21"/>
  <c r="V36" i="21"/>
  <c r="V35" i="21"/>
  <c r="V34" i="21"/>
  <c r="V33" i="21"/>
  <c r="V32" i="21"/>
  <c r="V31" i="21"/>
  <c r="V30" i="21"/>
  <c r="V29" i="21"/>
  <c r="V26" i="21"/>
  <c r="V25" i="21"/>
  <c r="V24" i="21"/>
  <c r="V23" i="21"/>
  <c r="V22" i="21"/>
  <c r="V21" i="21"/>
  <c r="V20" i="21"/>
  <c r="V17" i="21"/>
  <c r="V10" i="21"/>
  <c r="V9" i="21"/>
  <c r="V8" i="21"/>
  <c r="Y7" i="21"/>
  <c r="G73" i="20"/>
  <c r="S73" i="20" s="1"/>
  <c r="G72" i="20"/>
  <c r="S72" i="20" s="1"/>
  <c r="V134" i="11"/>
  <c r="U137" i="20"/>
  <c r="U136" i="20"/>
  <c r="U135" i="20"/>
  <c r="U134" i="20"/>
  <c r="U133" i="20"/>
  <c r="U132" i="20"/>
  <c r="U131" i="20"/>
  <c r="U130" i="20"/>
  <c r="U129" i="20"/>
  <c r="U128" i="20"/>
  <c r="U127" i="20"/>
  <c r="U126" i="20"/>
  <c r="U125" i="20"/>
  <c r="U124" i="20"/>
  <c r="U123" i="20"/>
  <c r="U122" i="20"/>
  <c r="U121" i="20"/>
  <c r="U120" i="20"/>
  <c r="U119" i="20"/>
  <c r="U118" i="20"/>
  <c r="U116" i="20"/>
  <c r="U114" i="20"/>
  <c r="U113" i="20"/>
  <c r="U112" i="20"/>
  <c r="U111" i="20"/>
  <c r="U110" i="20"/>
  <c r="U109" i="20"/>
  <c r="U108" i="20"/>
  <c r="U107" i="20"/>
  <c r="U106" i="20"/>
  <c r="U105" i="20"/>
  <c r="U104" i="20"/>
  <c r="U103" i="20"/>
  <c r="U102" i="20"/>
  <c r="U101" i="20"/>
  <c r="U100" i="20"/>
  <c r="U99" i="20"/>
  <c r="U98" i="20"/>
  <c r="U97" i="20"/>
  <c r="U96" i="20"/>
  <c r="U95" i="20"/>
  <c r="U94" i="20"/>
  <c r="U93" i="20"/>
  <c r="U92" i="20"/>
  <c r="U91" i="20"/>
  <c r="U90" i="20"/>
  <c r="U89" i="20"/>
  <c r="U88" i="20"/>
  <c r="U87" i="20"/>
  <c r="U86" i="20"/>
  <c r="U84" i="20"/>
  <c r="U83" i="20"/>
  <c r="U82" i="20"/>
  <c r="U81" i="20"/>
  <c r="U80" i="20"/>
  <c r="U79" i="20"/>
  <c r="U78" i="20"/>
  <c r="U77" i="20"/>
  <c r="U76" i="20"/>
  <c r="U75" i="20"/>
  <c r="U71" i="20"/>
  <c r="U70" i="20"/>
  <c r="U69" i="20"/>
  <c r="U68" i="20"/>
  <c r="U67" i="20"/>
  <c r="U65" i="20"/>
  <c r="U63" i="20"/>
  <c r="U62" i="20"/>
  <c r="U61" i="20"/>
  <c r="U57" i="20"/>
  <c r="U54" i="20"/>
  <c r="U52" i="20"/>
  <c r="U46" i="20"/>
  <c r="U45" i="20"/>
  <c r="U44" i="20"/>
  <c r="U39" i="20"/>
  <c r="U38" i="20"/>
  <c r="U37" i="20"/>
  <c r="U36" i="20"/>
  <c r="U35" i="20"/>
  <c r="U33" i="20"/>
  <c r="U32" i="20"/>
  <c r="U31" i="20"/>
  <c r="U30" i="20"/>
  <c r="U29" i="20"/>
  <c r="U28" i="20"/>
  <c r="U27" i="20"/>
  <c r="U26" i="20"/>
  <c r="U25" i="20"/>
  <c r="U24" i="20"/>
  <c r="U22" i="20"/>
  <c r="U20" i="20"/>
  <c r="U19" i="20"/>
  <c r="U18" i="20"/>
  <c r="U17" i="20"/>
  <c r="U16" i="20"/>
  <c r="U11" i="20"/>
  <c r="U10" i="20"/>
  <c r="U9" i="20"/>
  <c r="U8" i="20"/>
  <c r="U7" i="20"/>
  <c r="U74" i="20" l="1"/>
  <c r="U58" i="20"/>
  <c r="V15" i="21"/>
  <c r="U72" i="20"/>
  <c r="U73" i="20"/>
  <c r="V76" i="11"/>
  <c r="V86" i="11"/>
  <c r="V95" i="11"/>
  <c r="V97" i="11"/>
  <c r="V99" i="11"/>
  <c r="V104" i="11"/>
  <c r="V106" i="11"/>
  <c r="V107" i="11"/>
  <c r="V108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47" i="11"/>
  <c r="V48" i="11"/>
  <c r="V49" i="11"/>
  <c r="V60" i="11"/>
  <c r="V64" i="11"/>
  <c r="V17" i="11"/>
  <c r="V21" i="11"/>
  <c r="V22" i="11"/>
  <c r="V23" i="11"/>
  <c r="V24" i="11"/>
  <c r="V25" i="11"/>
  <c r="V26" i="11"/>
  <c r="V27" i="11"/>
  <c r="V28" i="11"/>
  <c r="V29" i="11"/>
  <c r="V30" i="11"/>
  <c r="V32" i="11"/>
  <c r="V33" i="11"/>
  <c r="V34" i="11"/>
  <c r="V35" i="11"/>
  <c r="V36" i="11"/>
  <c r="V18" i="11"/>
  <c r="V9" i="11" l="1"/>
  <c r="V10" i="11"/>
  <c r="V11" i="11"/>
  <c r="V12" i="11"/>
  <c r="V13" i="11"/>
  <c r="V14" i="11"/>
  <c r="V15" i="11"/>
  <c r="V16" i="11"/>
  <c r="V19" i="11"/>
  <c r="V20" i="11"/>
  <c r="V31" i="11"/>
  <c r="V39" i="11"/>
  <c r="V40" i="11"/>
  <c r="V41" i="11"/>
  <c r="V42" i="11"/>
  <c r="V44" i="11"/>
  <c r="V45" i="11"/>
  <c r="V46" i="11"/>
  <c r="V51" i="11"/>
  <c r="V52" i="11"/>
  <c r="V53" i="11"/>
  <c r="V54" i="11"/>
  <c r="V55" i="11"/>
  <c r="V56" i="11"/>
  <c r="V57" i="11"/>
  <c r="V58" i="11"/>
  <c r="V59" i="11"/>
  <c r="V61" i="11"/>
  <c r="V62" i="11"/>
  <c r="V63" i="11"/>
  <c r="V65" i="11"/>
  <c r="V70" i="11"/>
  <c r="V72" i="11"/>
  <c r="V77" i="11"/>
  <c r="V78" i="11"/>
  <c r="V85" i="11"/>
  <c r="V88" i="11"/>
  <c r="V89" i="11"/>
  <c r="V90" i="11"/>
  <c r="V91" i="11"/>
  <c r="V92" i="11"/>
  <c r="V94" i="11"/>
  <c r="V96" i="11"/>
  <c r="V98" i="11"/>
  <c r="V101" i="11"/>
  <c r="V102" i="11"/>
  <c r="V128" i="11"/>
  <c r="V129" i="11"/>
  <c r="V131" i="11"/>
  <c r="V132" i="11"/>
  <c r="V133" i="11"/>
  <c r="V135" i="11"/>
  <c r="V136" i="11"/>
  <c r="V137" i="11"/>
  <c r="V138" i="11"/>
  <c r="V139" i="11"/>
  <c r="V8" i="11"/>
  <c r="Y7" i="11"/>
  <c r="V7" i="11"/>
  <c r="D10" i="18" l="1"/>
  <c r="D8" i="18"/>
  <c r="D9" i="18"/>
  <c r="D15" i="16" l="1"/>
  <c r="D14" i="16"/>
  <c r="V75" i="11" l="1"/>
  <c r="V73" i="11" l="1"/>
  <c r="V74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<sst xmlns="http://schemas.openxmlformats.org/spreadsheetml/2006/main" count="1526" uniqueCount="438">
  <si>
    <t xml:space="preserve">NO </t>
  </si>
  <si>
    <t xml:space="preserve">NAMA ITEM </t>
  </si>
  <si>
    <t xml:space="preserve">HARGA </t>
  </si>
  <si>
    <t>MP 12 MM</t>
  </si>
  <si>
    <t>MP 3 MM</t>
  </si>
  <si>
    <t>MELL PUTIH 3 MM</t>
  </si>
  <si>
    <t>MDF 18 MM</t>
  </si>
  <si>
    <t>MDF 2.5 MM</t>
  </si>
  <si>
    <t>HPL 017 G</t>
  </si>
  <si>
    <t xml:space="preserve">HPL TH 889 FC </t>
  </si>
  <si>
    <t xml:space="preserve">HPL TH 026 G </t>
  </si>
  <si>
    <t>HPL TH  004 G</t>
  </si>
  <si>
    <t>HPL TH 154 AA</t>
  </si>
  <si>
    <t>HPL TH  150 AA</t>
  </si>
  <si>
    <t>HPL TH  022 AA</t>
  </si>
  <si>
    <t>HPL TH  038 AA</t>
  </si>
  <si>
    <t>HPL TH  001 AA</t>
  </si>
  <si>
    <t>HPL PERFOME GOLD TEAK 5356 M</t>
  </si>
  <si>
    <t>HPL PERFOME PURE WHITE 6625 G</t>
  </si>
  <si>
    <t xml:space="preserve">HPL PERFOME SAGE GREEN 9554 </t>
  </si>
  <si>
    <t>HPL PERFOME TEAL GREEN 6655</t>
  </si>
  <si>
    <t xml:space="preserve">HPL PERFOME APPLE GRREN C 206 </t>
  </si>
  <si>
    <t>HPL GOLD BRUSH D 8123</t>
  </si>
  <si>
    <t>E1/2 BUNGKUK HAELLE</t>
  </si>
  <si>
    <t>ESL SOFT CLOSER HAFELLE</t>
  </si>
  <si>
    <t>ESB SOFT CLOSER HAFELLE</t>
  </si>
  <si>
    <t>BRACKET SS 1''</t>
  </si>
  <si>
    <t xml:space="preserve">RODA SLIDING HUBEN </t>
  </si>
  <si>
    <t>LOBANG KABEL</t>
  </si>
  <si>
    <t xml:space="preserve">LOBANG ANGIN </t>
  </si>
  <si>
    <t xml:space="preserve">KUNCI HUBEN </t>
  </si>
  <si>
    <t>PLAT L</t>
  </si>
  <si>
    <t xml:space="preserve">SEPATU PLASTIK </t>
  </si>
  <si>
    <t xml:space="preserve">SS LOBANG TEMPAT SAMPAH </t>
  </si>
  <si>
    <t>THINER A</t>
  </si>
  <si>
    <t>THINER SUPER</t>
  </si>
  <si>
    <t xml:space="preserve">THINER PU </t>
  </si>
  <si>
    <t xml:space="preserve">CLEAR PANZER DOFF </t>
  </si>
  <si>
    <t xml:space="preserve">TOP COLOR 0001 </t>
  </si>
  <si>
    <t>WF JATI</t>
  </si>
  <si>
    <t xml:space="preserve">WF PUTIH </t>
  </si>
  <si>
    <t xml:space="preserve">SATUAN </t>
  </si>
  <si>
    <t>EPOXY FILLER ALFAGLOSS</t>
  </si>
  <si>
    <t>LAKBAN KERTAS</t>
  </si>
  <si>
    <t xml:space="preserve">Lembar </t>
  </si>
  <si>
    <t xml:space="preserve">Meter </t>
  </si>
  <si>
    <t xml:space="preserve">EDGJING 002 2/2.2 </t>
  </si>
  <si>
    <t xml:space="preserve">EDGJING 002 2/4.2 </t>
  </si>
  <si>
    <t xml:space="preserve">TACONSHEET O 678 </t>
  </si>
  <si>
    <t>pcs</t>
  </si>
  <si>
    <t xml:space="preserve">PTF 15 </t>
  </si>
  <si>
    <t>PTU 1010</t>
  </si>
  <si>
    <t xml:space="preserve">AC WD </t>
  </si>
  <si>
    <t xml:space="preserve">KUACI KACA </t>
  </si>
  <si>
    <t xml:space="preserve">DOWEL </t>
  </si>
  <si>
    <t xml:space="preserve">FISHER S6 </t>
  </si>
  <si>
    <t xml:space="preserve">FISHER Gysum </t>
  </si>
  <si>
    <t>LHTR 0016 22 MM SSS</t>
  </si>
  <si>
    <t>ESS EL 4X3X2 MM 2BB SSS</t>
  </si>
  <si>
    <t>MTS IL DL 8485 SSS</t>
  </si>
  <si>
    <t>MTS RL DL8485 SSS</t>
  </si>
  <si>
    <t>MTS SLD DL 85100 SSS</t>
  </si>
  <si>
    <t>CYL DC DL 60 MM SN</t>
  </si>
  <si>
    <t>CYL TC DL 60 MM SN</t>
  </si>
  <si>
    <t>FH 211 SSS</t>
  </si>
  <si>
    <t>FB 049 12'' SSS</t>
  </si>
  <si>
    <t>FB 040 8'' SSS</t>
  </si>
  <si>
    <t>ESCN 855 SSS</t>
  </si>
  <si>
    <t>PP 012 SSS</t>
  </si>
  <si>
    <t>SR 8701 D3 1,8M NA</t>
  </si>
  <si>
    <t>SR 6901 D6 3M NA</t>
  </si>
  <si>
    <t>SR 6901 D6 DOUBLE 3M</t>
  </si>
  <si>
    <t>SP 003 N HDL SSS</t>
  </si>
  <si>
    <t>SR 8901 D4 2M NA</t>
  </si>
  <si>
    <t>KCBL T9587 BK SSS</t>
  </si>
  <si>
    <t>LS T6200 BK SSS</t>
  </si>
  <si>
    <t xml:space="preserve">ASESORIS PINTU </t>
  </si>
  <si>
    <t xml:space="preserve">DEMPUL PLASTIK </t>
  </si>
  <si>
    <t xml:space="preserve">MELL PUTIH 15 MM DF </t>
  </si>
  <si>
    <t xml:space="preserve">KAIN BALL </t>
  </si>
  <si>
    <t>JANUARI</t>
  </si>
  <si>
    <t xml:space="preserve">Top Credensa Kulkas </t>
  </si>
  <si>
    <t xml:space="preserve">Unit </t>
  </si>
  <si>
    <t>FEBRUARI</t>
  </si>
  <si>
    <t xml:space="preserve">ACRILIC HIJAU 8 MM </t>
  </si>
  <si>
    <t xml:space="preserve">ACRILIC SUSU 5 MM </t>
  </si>
  <si>
    <t>ACRILIC SUSU 3 MM</t>
  </si>
  <si>
    <t xml:space="preserve">ACRILIC BENING 3 MM </t>
  </si>
  <si>
    <t xml:space="preserve">HAIRLINE 1,2 </t>
  </si>
  <si>
    <t xml:space="preserve">KRISNA </t>
  </si>
  <si>
    <t>DIAMETER 100</t>
  </si>
  <si>
    <t>DIAMETER 80</t>
  </si>
  <si>
    <t>DIAMETER 60</t>
  </si>
  <si>
    <t>DIAMETER 40</t>
  </si>
  <si>
    <t xml:space="preserve">DIAMETER 120 </t>
  </si>
  <si>
    <t xml:space="preserve">Note </t>
  </si>
  <si>
    <t xml:space="preserve">AURORA </t>
  </si>
  <si>
    <t>KURSI STAFF</t>
  </si>
  <si>
    <t xml:space="preserve">KURSI DOKTER </t>
  </si>
  <si>
    <t xml:space="preserve">KURSI PASIEN </t>
  </si>
  <si>
    <t>3 M 2 CM</t>
  </si>
  <si>
    <t xml:space="preserve">3 M 1 CM </t>
  </si>
  <si>
    <t>EDGJING 801  2/2.2</t>
  </si>
  <si>
    <t>EDGJING 801  1/2.2</t>
  </si>
  <si>
    <t xml:space="preserve">ECONSHHET 101 </t>
  </si>
  <si>
    <t xml:space="preserve">MP 15 MM </t>
  </si>
  <si>
    <t>HPL 9021 M</t>
  </si>
  <si>
    <t xml:space="preserve">E1/2 BUNGKUK HAELLE SOFT CLOSER </t>
  </si>
  <si>
    <t>LEM EDGJING ( UNIMELT 250 )</t>
  </si>
  <si>
    <t>RODA SURVIVAL 3''</t>
  </si>
  <si>
    <t xml:space="preserve">PENIKLAN </t>
  </si>
  <si>
    <t>HPL TH 026 AA</t>
  </si>
  <si>
    <t>HPL TH 004 AA</t>
  </si>
  <si>
    <t xml:space="preserve">MOWILEX WALNUT </t>
  </si>
  <si>
    <t>LEM PUTIH FOX</t>
  </si>
  <si>
    <t xml:space="preserve">Kg </t>
  </si>
  <si>
    <t>TOP COLOR 1317</t>
  </si>
  <si>
    <t xml:space="preserve">ACRILIC BENING 5 MM </t>
  </si>
  <si>
    <t xml:space="preserve">Wastafle SUITE </t>
  </si>
  <si>
    <t xml:space="preserve">Wastafle Poli </t>
  </si>
  <si>
    <t xml:space="preserve">Meja Snack </t>
  </si>
  <si>
    <t>*</t>
  </si>
  <si>
    <t>Harga belum termasuk ppn 11%</t>
  </si>
  <si>
    <t>Hrga solid surfacer per M' 1.400.000</t>
  </si>
  <si>
    <t>DP 003</t>
  </si>
  <si>
    <t xml:space="preserve">USB </t>
  </si>
  <si>
    <t xml:space="preserve">HPL 045 AA </t>
  </si>
  <si>
    <t>HPL TH 18 RE</t>
  </si>
  <si>
    <t xml:space="preserve">SEPATU KARET KOTAK 2 X 2 </t>
  </si>
  <si>
    <t>MP 9 MM PUTIH</t>
  </si>
  <si>
    <t>MP 9 MM MERAH</t>
  </si>
  <si>
    <t xml:space="preserve">HMR 3 MM </t>
  </si>
  <si>
    <t xml:space="preserve">HMR 12 MM </t>
  </si>
  <si>
    <t>RODA NYLON 2''</t>
  </si>
  <si>
    <t xml:space="preserve">ISI CUTTER </t>
  </si>
  <si>
    <t xml:space="preserve">CAT OPLOS  Gold Teak </t>
  </si>
  <si>
    <t xml:space="preserve">WS IMPRA BLACK </t>
  </si>
  <si>
    <t>DAFTAR HARGA BAHAN SOLID SURFACER 2025</t>
  </si>
  <si>
    <t xml:space="preserve">HPL CT 5572 </t>
  </si>
  <si>
    <t>HPL Arborite 8809 M</t>
  </si>
  <si>
    <t>HPL Arborite 8104</t>
  </si>
  <si>
    <t xml:space="preserve">HPL TH 03 KM </t>
  </si>
  <si>
    <t>HPL AK 14060</t>
  </si>
  <si>
    <t>HPL AK 14093</t>
  </si>
  <si>
    <t>HPL AK 14131</t>
  </si>
  <si>
    <t xml:space="preserve">MARET </t>
  </si>
  <si>
    <t xml:space="preserve">APRIL </t>
  </si>
  <si>
    <t>MEI</t>
  </si>
  <si>
    <t>JULI</t>
  </si>
  <si>
    <t>AGUSTUS</t>
  </si>
  <si>
    <t>MP 5 MM</t>
  </si>
  <si>
    <t>HANDLE HUBEN TZ18-192</t>
  </si>
  <si>
    <t xml:space="preserve">HPL TH 111 NT </t>
  </si>
  <si>
    <t>LEM SEALENT (PAMINDO )</t>
  </si>
  <si>
    <t xml:space="preserve">APLUS </t>
  </si>
  <si>
    <t>STICKER SANBLAST</t>
  </si>
  <si>
    <t>HPL TH 005 AA</t>
  </si>
  <si>
    <t>NIPPE 2000 388 T</t>
  </si>
  <si>
    <t>NIPPE 2000 444</t>
  </si>
  <si>
    <t xml:space="preserve">SPONATI 9 MM </t>
  </si>
  <si>
    <t xml:space="preserve">CAPSTOCK </t>
  </si>
  <si>
    <t xml:space="preserve">SINGLEFACE </t>
  </si>
  <si>
    <t xml:space="preserve">SEPTEMBER </t>
  </si>
  <si>
    <t xml:space="preserve">TACONSHEET 313 </t>
  </si>
  <si>
    <t>TACONSHEET 359</t>
  </si>
  <si>
    <t xml:space="preserve">LAKBAN BENING </t>
  </si>
  <si>
    <t>TALI RAFIA</t>
  </si>
  <si>
    <t>NOVEMBER</t>
  </si>
  <si>
    <t>OKTOBER</t>
  </si>
  <si>
    <t>DESEMBER</t>
  </si>
  <si>
    <t>HARGA RATA-2 TAHUN 2025</t>
  </si>
  <si>
    <t xml:space="preserve">HARGA + PPN </t>
  </si>
  <si>
    <t>ONGKIR</t>
  </si>
  <si>
    <t>TOTAL PER SATUAN</t>
  </si>
  <si>
    <t>JUNI</t>
  </si>
  <si>
    <t>SUPPLIER</t>
  </si>
  <si>
    <t>TATA</t>
  </si>
  <si>
    <t>PULUNG</t>
  </si>
  <si>
    <t>BB 18 MM</t>
  </si>
  <si>
    <t>HARGA RATA-2 TAHUN 2024</t>
  </si>
  <si>
    <t>HARGA SEBELUM ONGKIR</t>
  </si>
  <si>
    <t>Up Date Harga Per :</t>
  </si>
  <si>
    <t>FAB 8 X 5/8'' (Box isi 2.000 Pcs.)</t>
  </si>
  <si>
    <t>PTF 30 ( 1 Doz isi 50 Strip)</t>
  </si>
  <si>
    <t>LEM KUNING PRIMA D (1 Blek vol 10 Kg)</t>
  </si>
  <si>
    <t xml:space="preserve">BB 18 MM Grade biasa </t>
  </si>
  <si>
    <t>BB 18 MM Grade Ekspor</t>
  </si>
  <si>
    <t>STATUS PAJAK VEBDOR</t>
  </si>
  <si>
    <t>PKP</t>
  </si>
  <si>
    <t>Non PKP</t>
  </si>
  <si>
    <t xml:space="preserve">MP 18 MM </t>
  </si>
  <si>
    <t xml:space="preserve">SAJ </t>
  </si>
  <si>
    <t xml:space="preserve">PONDASI JAYA </t>
  </si>
  <si>
    <t xml:space="preserve">HPL TH 003 AA </t>
  </si>
  <si>
    <t>HPL TH  852 J</t>
  </si>
  <si>
    <t xml:space="preserve">HPL TH 887 J </t>
  </si>
  <si>
    <t>AICA</t>
  </si>
  <si>
    <t xml:space="preserve">KAMANDANU </t>
  </si>
  <si>
    <t xml:space="preserve">TOKO LIMAN </t>
  </si>
  <si>
    <t xml:space="preserve">KEKAL JAYA </t>
  </si>
  <si>
    <t>MELL PUTIH 6 MM</t>
  </si>
  <si>
    <t>MELL PUTIH 9 MM</t>
  </si>
  <si>
    <t>MELL PUTIH 15 MM SF</t>
  </si>
  <si>
    <t xml:space="preserve">MELL PUTIH 18 MM DF </t>
  </si>
  <si>
    <t xml:space="preserve">MDF 6 MM </t>
  </si>
  <si>
    <t xml:space="preserve">MDF 9 MM </t>
  </si>
  <si>
    <t xml:space="preserve">MDF 12 MM </t>
  </si>
  <si>
    <t xml:space="preserve">MDF 15 MM </t>
  </si>
  <si>
    <t xml:space="preserve">MDF 18 MM </t>
  </si>
  <si>
    <t xml:space="preserve">HMR 6 MM </t>
  </si>
  <si>
    <t xml:space="preserve">HMR 9 MM </t>
  </si>
  <si>
    <t xml:space="preserve">HMR 15 MM </t>
  </si>
  <si>
    <t xml:space="preserve">HMR 18 MM </t>
  </si>
  <si>
    <t>HPL TH 057 DB</t>
  </si>
  <si>
    <t>HPL TH 039 AA</t>
  </si>
  <si>
    <t xml:space="preserve">EDGJING 002 1/2.2 </t>
  </si>
  <si>
    <t xml:space="preserve">EDGJING 002 1/4.2 </t>
  </si>
  <si>
    <t>HPL TH 031 AA</t>
  </si>
  <si>
    <t>UJUNG</t>
  </si>
  <si>
    <t>HPL CT 1614 WHITE CARARA</t>
  </si>
  <si>
    <t xml:space="preserve">WINGLEY </t>
  </si>
  <si>
    <t xml:space="preserve">HPL SM 9212 M ICE PINX </t>
  </si>
  <si>
    <t xml:space="preserve">CINA </t>
  </si>
  <si>
    <t xml:space="preserve">EDGJING 1218 2/2.2 </t>
  </si>
  <si>
    <t xml:space="preserve">EDGJING 122 2/4.2 </t>
  </si>
  <si>
    <t xml:space="preserve">EDGJING 122 2/2.2 </t>
  </si>
  <si>
    <t xml:space="preserve">EDGJING 1218 1/2.2 </t>
  </si>
  <si>
    <t xml:space="preserve">EDGJING 154 2/2,2 </t>
  </si>
  <si>
    <t xml:space="preserve">EDGJING 154 2/4,2 </t>
  </si>
  <si>
    <t xml:space="preserve">MELL PUTIH 18 MM SF </t>
  </si>
  <si>
    <t xml:space="preserve">HPL TACO </t>
  </si>
  <si>
    <t xml:space="preserve">HPL PERFOME </t>
  </si>
  <si>
    <t xml:space="preserve">HPL CARTA </t>
  </si>
  <si>
    <t xml:space="preserve">HPL ARBORITE </t>
  </si>
  <si>
    <t>HPL AICA</t>
  </si>
  <si>
    <t xml:space="preserve">DAFTAR HARGA BAHAN PERABOT &amp; ASESORIS </t>
  </si>
  <si>
    <t xml:space="preserve">AMBALAN JEPIT KACA </t>
  </si>
  <si>
    <t xml:space="preserve">AMBALAN JEPIT KACA  </t>
  </si>
  <si>
    <t>TB ANYAR</t>
  </si>
  <si>
    <t xml:space="preserve">Non PKP </t>
  </si>
  <si>
    <t xml:space="preserve">BARMARK </t>
  </si>
  <si>
    <t>RING PLAT 5 x 17</t>
  </si>
  <si>
    <t>FAB 6 x 1'' ( Box isi 2.000 pcs )</t>
  </si>
  <si>
    <t>FAB 6 x 11/4'' ( Box isi 1.000 )</t>
  </si>
  <si>
    <t>FAB 6 x 11/2'' ( Box Isi 1.000 pcs )</t>
  </si>
  <si>
    <t xml:space="preserve">CV.indowood </t>
  </si>
  <si>
    <t>SAJ</t>
  </si>
  <si>
    <t>LEM SEALENT</t>
  </si>
  <si>
    <t xml:space="preserve">LANCAR </t>
  </si>
  <si>
    <t>FAB 6 x 2'' ( Boc isi 1.000 pcs )</t>
  </si>
  <si>
    <t>FAB 8 x 3'' ( Box Isi 1.000 pcs )</t>
  </si>
  <si>
    <t>NCA</t>
  </si>
  <si>
    <t>Las Argon</t>
  </si>
  <si>
    <t xml:space="preserve">SPONATI 2 MM </t>
  </si>
  <si>
    <t xml:space="preserve">REL LACI HUBEN 35 CM  </t>
  </si>
  <si>
    <t xml:space="preserve">UJUNG </t>
  </si>
  <si>
    <t xml:space="preserve">INDOJAYA </t>
  </si>
  <si>
    <t xml:space="preserve">DINABOLD 8 X 65 </t>
  </si>
  <si>
    <t xml:space="preserve">MURAH KRACENAN </t>
  </si>
  <si>
    <t xml:space="preserve">REL SLIDING SD 12 </t>
  </si>
  <si>
    <t xml:space="preserve">UJUNG BERKAT </t>
  </si>
  <si>
    <t>PCS</t>
  </si>
  <si>
    <t xml:space="preserve">MIKATASA AGUNG </t>
  </si>
  <si>
    <t>LAMPU LED 220 V Warm White</t>
  </si>
  <si>
    <t>FAB 6 x 3/4'' ( Dus isi 2.000 pcs )</t>
  </si>
  <si>
    <t xml:space="preserve">REL LACI HUBEN 50 CM </t>
  </si>
  <si>
    <t>PIPA SS 1'' ( 1 Batang 3 meter )</t>
  </si>
  <si>
    <t>DIAMOND BARU</t>
  </si>
  <si>
    <t xml:space="preserve">CONECTOR </t>
  </si>
  <si>
    <t xml:space="preserve">LamPU LED 220 V Warm White merk apollo </t>
  </si>
  <si>
    <t>REL LACI HUBEN FE 35 CM</t>
  </si>
  <si>
    <t>PTF 25 ( Dus isi 50 strip )</t>
  </si>
  <si>
    <t xml:space="preserve">MITRA ANDA </t>
  </si>
  <si>
    <t xml:space="preserve">ROTATING </t>
  </si>
  <si>
    <t xml:space="preserve">REL LACI HUBEN 40 CM  </t>
  </si>
  <si>
    <t xml:space="preserve">KARPET CAKAR </t>
  </si>
  <si>
    <t>LIMAN</t>
  </si>
  <si>
    <t>UNITEC</t>
  </si>
  <si>
    <t xml:space="preserve">KUNCI PUSHLOCK </t>
  </si>
  <si>
    <t>CIPTA SEJAHTEREA</t>
  </si>
  <si>
    <t xml:space="preserve">PISON </t>
  </si>
  <si>
    <t xml:space="preserve">TOKO SABAR </t>
  </si>
  <si>
    <t>SHOOPE</t>
  </si>
  <si>
    <t>INLAI 10 MM ( 1 Batang 3 meter )</t>
  </si>
  <si>
    <t xml:space="preserve">PKP </t>
  </si>
  <si>
    <t xml:space="preserve">USAHA MULIA </t>
  </si>
  <si>
    <t xml:space="preserve">CAT OPLOS  NCA 6665 TEAL GREEN </t>
  </si>
  <si>
    <t>LEM ALTECO HQ</t>
  </si>
  <si>
    <t xml:space="preserve">CAT OPLOS  NCA C 206 APPLE GREEN </t>
  </si>
  <si>
    <t>CAT OPLOS NCB BORREGO BEIGE GLOSS</t>
  </si>
  <si>
    <t>CAT OPLOS  NCA 037</t>
  </si>
  <si>
    <t xml:space="preserve">CAT OPLOS NCA GOLDEN BEACH </t>
  </si>
  <si>
    <t xml:space="preserve">REL LACI HUBEN FE 45 CM </t>
  </si>
  <si>
    <t>PTF 20 ( Box isi 50 strip )</t>
  </si>
  <si>
    <t xml:space="preserve">CAT OPLOS NCA 9554 SAGE GREEN </t>
  </si>
  <si>
    <t>PAMINDO</t>
  </si>
  <si>
    <t>SANDING NC DOFF 124</t>
  </si>
  <si>
    <t>CLEAR NC DOFF 131 DOFF</t>
  </si>
  <si>
    <t>AMPLAS KERTAS 220</t>
  </si>
  <si>
    <t>AMPLAS KERTAS 400</t>
  </si>
  <si>
    <t>AMPLAS KAIN 80</t>
  </si>
  <si>
    <t>AMPLAS KAIN  100</t>
  </si>
  <si>
    <t>AMPLAS KAIN 120</t>
  </si>
  <si>
    <t>AMPLAS KAIN  220</t>
  </si>
  <si>
    <t>LEMBAR</t>
  </si>
  <si>
    <t xml:space="preserve">MURAH KRADENAN </t>
  </si>
  <si>
    <t xml:space="preserve">MULTI COATING </t>
  </si>
  <si>
    <t>CAT OPLOS NCA MIROR GOLD</t>
  </si>
  <si>
    <t>NIPPE 2000 1019</t>
  </si>
  <si>
    <t>CAT OPLOS NCB CHARCOAL GREY</t>
  </si>
  <si>
    <t>CAT OPLOS NCA 9021</t>
  </si>
  <si>
    <t>CAT OPLOS NCA 852 J</t>
  </si>
  <si>
    <t xml:space="preserve">CAT OPLOS NCA 111 NT </t>
  </si>
  <si>
    <t>CAT OPLOS NCA 154 AA</t>
  </si>
  <si>
    <t>RING PLAT 5 x 12</t>
  </si>
  <si>
    <t>METER</t>
  </si>
  <si>
    <t>KG</t>
  </si>
  <si>
    <t>ROLL</t>
  </si>
  <si>
    <t xml:space="preserve">BATANG </t>
  </si>
  <si>
    <t xml:space="preserve">BLEK </t>
  </si>
  <si>
    <t>BOTOL</t>
  </si>
  <si>
    <t>BUNGKUS</t>
  </si>
  <si>
    <t>SET</t>
  </si>
  <si>
    <t xml:space="preserve">REL LACI HUBEN 25 CM  </t>
  </si>
  <si>
    <t>REL LACI HUBEN 30 CM</t>
  </si>
  <si>
    <t xml:space="preserve">REL LACI HUBEN 30 CM </t>
  </si>
  <si>
    <t xml:space="preserve">REL LACI HUBEN 45 CM </t>
  </si>
  <si>
    <t xml:space="preserve">REL LACI HUBEN 55 CM </t>
  </si>
  <si>
    <t xml:space="preserve">REL LACI HUBEN 60 CM </t>
  </si>
  <si>
    <t xml:space="preserve">RELLACI HUBEN FE 25 CM </t>
  </si>
  <si>
    <t xml:space="preserve">REL LACI HUBEN FE 30 CM </t>
  </si>
  <si>
    <t xml:space="preserve">REL LACI HUBEN FE 40 CM </t>
  </si>
  <si>
    <t xml:space="preserve">REL LACI HUBEN FE 50 CM </t>
  </si>
  <si>
    <t xml:space="preserve">REL LACI HUBEN FE 55 CM </t>
  </si>
  <si>
    <t>REL LACI HUBEN FE 55 CM</t>
  </si>
  <si>
    <t xml:space="preserve">REL LACI HUBEN FE 60 CM </t>
  </si>
  <si>
    <t>FAB 6 x 1/2 '' ( Box Isi 1.000 pcs )</t>
  </si>
  <si>
    <t>FAB 6 x 3/8'' ( Box Isi 2.000 pcs )</t>
  </si>
  <si>
    <t>FAB 6 x 5/8'' ( Box Isi 2.000 )</t>
  </si>
  <si>
    <t xml:space="preserve">LITER </t>
  </si>
  <si>
    <t xml:space="preserve">WS IMRA CANDY BROWN CB </t>
  </si>
  <si>
    <t xml:space="preserve">SUPPLIER </t>
  </si>
  <si>
    <t>KURSI DIREKTUR /KURSI KERJA</t>
  </si>
  <si>
    <t>HAIRLINE 304 0.8</t>
  </si>
  <si>
    <t xml:space="preserve">KACA BENING 8 MM </t>
  </si>
  <si>
    <t xml:space="preserve">KACA BENING 5 MM </t>
  </si>
  <si>
    <t xml:space="preserve">KACA CERMIN 5 MM </t>
  </si>
  <si>
    <t xml:space="preserve">PRABU KACA </t>
  </si>
  <si>
    <t>DAFTAR HARGA BAHAN FINISHING</t>
  </si>
  <si>
    <t xml:space="preserve">HPL Formika 6445 lm Greige Textille </t>
  </si>
  <si>
    <t>HPL Ash Riftwood  PP 9281 UN</t>
  </si>
  <si>
    <t xml:space="preserve">HPL White PP 7949 UN </t>
  </si>
  <si>
    <t>LamPU LED 220 V Warm White NMHYO</t>
  </si>
  <si>
    <t xml:space="preserve">KABEL NYM 2 x 10 x 100 </t>
  </si>
  <si>
    <t xml:space="preserve">KABEL NYM 2 x 1.5 x 100 </t>
  </si>
  <si>
    <t>KABEL ETERNA NYM 2 x 1,5</t>
  </si>
  <si>
    <t>DAFTAR HARGA KURSI PER TH 2025</t>
  </si>
  <si>
    <t>M2</t>
  </si>
  <si>
    <t xml:space="preserve">DAFTAR HARGA TULISAN </t>
  </si>
  <si>
    <t xml:space="preserve">SISI LAIN </t>
  </si>
  <si>
    <t>RAINBOW</t>
  </si>
  <si>
    <t xml:space="preserve">SUNDARI </t>
  </si>
  <si>
    <t xml:space="preserve">TULISAN SS BALOK  8 CM - 10 CM GLOSSY </t>
  </si>
  <si>
    <t>TULISAN SS BALOK  8 CM - 10 CM DOFF</t>
  </si>
  <si>
    <t xml:space="preserve">TULISAN SS BALOK  12  CM GLOSSY </t>
  </si>
  <si>
    <t>TULISAN SS BALOK  12  CM DOFF</t>
  </si>
  <si>
    <t>TULISAN SS BALOK  15  CM  GLOSSY</t>
  </si>
  <si>
    <t xml:space="preserve">TULISAN SS BALOK  15  CM  DOFF </t>
  </si>
  <si>
    <t xml:space="preserve">TULISAN LATIN HURUF BESAR  8-10 CM  DOFF </t>
  </si>
  <si>
    <t>TULISAN LATIN HURUF BESAR  8-10 CM  GLOSS</t>
  </si>
  <si>
    <t>TULISAN LATIN HURUF BESAR  15 CM DOFF</t>
  </si>
  <si>
    <t>TULISAN LATIN HURUF BESAR  15 CM GLOSS</t>
  </si>
  <si>
    <t>TULISAN LATIN HURUF KECIL 12 CM DOFF</t>
  </si>
  <si>
    <t>TULISAN LATIN HURUF KECIL 12 CM GLOSS</t>
  </si>
  <si>
    <t>TULISAN LATIN HURUF KECIL  15 CM DOFF</t>
  </si>
  <si>
    <t>TULISAN LATIN HURUF KECIL  15 CM GLOSS</t>
  </si>
  <si>
    <t xml:space="preserve">JONATAN </t>
  </si>
  <si>
    <t xml:space="preserve">TULISAN  SS BALOK </t>
  </si>
  <si>
    <t xml:space="preserve">TULISAN SS  LATIN </t>
  </si>
  <si>
    <t xml:space="preserve">TULISAN ACRILIC </t>
  </si>
  <si>
    <t xml:space="preserve">ACRILIC PUTIH 5,5 CM </t>
  </si>
  <si>
    <t>ACRILIC PUTIH UK 10 CM</t>
  </si>
  <si>
    <t xml:space="preserve">ACRILIC PUTIH UK 8  CM </t>
  </si>
  <si>
    <t xml:space="preserve">ACRILIC PUTIH UK 6 CM </t>
  </si>
  <si>
    <t>ACRILIC PUTIH UK 12 CM</t>
  </si>
  <si>
    <t>ACRILIC PUTIH UK 15 CM</t>
  </si>
  <si>
    <t xml:space="preserve">HPL MOUSE 0928 </t>
  </si>
  <si>
    <t xml:space="preserve">Di Laporkan </t>
  </si>
  <si>
    <t xml:space="preserve">Di Setujui </t>
  </si>
  <si>
    <t xml:space="preserve">Di Periksa </t>
  </si>
  <si>
    <t xml:space="preserve">Purchasing </t>
  </si>
  <si>
    <t xml:space="preserve">Ka Keuangan </t>
  </si>
  <si>
    <t xml:space="preserve">Dir Operasional </t>
  </si>
  <si>
    <t xml:space="preserve">LAMPU DINDING </t>
  </si>
  <si>
    <t xml:space="preserve">LAMPU GANTUNG </t>
  </si>
  <si>
    <t>TULISAN SS BALOK  8 CM GLOSS</t>
  </si>
  <si>
    <t>TULISAN SS BALOK  10 CM GLOSS</t>
  </si>
  <si>
    <t xml:space="preserve">KERAMIK </t>
  </si>
  <si>
    <t xml:space="preserve">CAHAYA LESTARI </t>
  </si>
  <si>
    <t xml:space="preserve">HPL TH 049 AA </t>
  </si>
  <si>
    <t xml:space="preserve">LOBANG KABEL KOTAK </t>
  </si>
  <si>
    <t xml:space="preserve">HPL 002 AA </t>
  </si>
  <si>
    <t>Up Date Harga Per : 30 November 2025</t>
  </si>
  <si>
    <t>STATUS PAJAK VENDOR</t>
  </si>
  <si>
    <t>HPL TH 011 AA</t>
  </si>
  <si>
    <t>BSI</t>
  </si>
  <si>
    <t xml:space="preserve">DASA UTAMA JAYA </t>
  </si>
  <si>
    <t>DAFTAR HARGA LAMPU  TAHUN 2026</t>
  </si>
  <si>
    <t xml:space="preserve">COVER LED 1 M </t>
  </si>
  <si>
    <t xml:space="preserve">COVER LED 2 M </t>
  </si>
  <si>
    <t xml:space="preserve">Batang </t>
  </si>
  <si>
    <t>LEM PUTIH SUPRA (1 Drum vol 200 Kg) 4000 AC</t>
  </si>
  <si>
    <t>ESL HAFELLE 311.90.190</t>
  </si>
  <si>
    <t>ESB HAFELLE 311.90.194</t>
  </si>
  <si>
    <t>HPL 002 G</t>
  </si>
  <si>
    <t>LEM ALTECO GENCO</t>
  </si>
  <si>
    <t>LEM EDGJING ( PUR )</t>
  </si>
  <si>
    <t>LAJU KIMILAU</t>
  </si>
  <si>
    <t>SEPATU KARET BULAT 2''</t>
  </si>
  <si>
    <t>LEM TACONSHEET ( UNISTIC 209 PW )</t>
  </si>
  <si>
    <t>DAFTAR HARGA BAHAN LEMBARAN 2026</t>
  </si>
  <si>
    <t xml:space="preserve">SUKSES BERSAMA </t>
  </si>
  <si>
    <t xml:space="preserve">DOORSEL STANDADAR BARU </t>
  </si>
  <si>
    <t>RP 100 BLACK 2200</t>
  </si>
  <si>
    <t xml:space="preserve">R8Si 600 mm CA </t>
  </si>
  <si>
    <t xml:space="preserve">R8Si 820 mm CA </t>
  </si>
  <si>
    <t xml:space="preserve">R8Si 920 mm CA </t>
  </si>
  <si>
    <t xml:space="preserve">BERKAH SARANA ABADI </t>
  </si>
  <si>
    <t xml:space="preserve">DESEMBER </t>
  </si>
  <si>
    <t>LEM PUTIH SUPRA (1 Drum vol 500 Kg) 5000 AC</t>
  </si>
  <si>
    <t>Amplas Kaca 80</t>
  </si>
  <si>
    <t xml:space="preserve">TOKO MANYAR </t>
  </si>
  <si>
    <t>Lembar</t>
  </si>
  <si>
    <t>CS</t>
  </si>
  <si>
    <t xml:space="preserve">INFORMA </t>
  </si>
  <si>
    <t xml:space="preserve">LAMPU MEJA </t>
  </si>
  <si>
    <t>TUTUP KEPALA MINIFIX</t>
  </si>
  <si>
    <t>MINIFIK (yg baru harga = 3.450)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</si>
</sst>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_);_(@_)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0" fontId="0" fillId="0" borderId="8" xfId="0" applyBorder="1"/>
    <xf numFmtId="0" fontId="0" fillId="0" borderId="9" xfId="0" applyBorder="1"/>
    <xf numFmtId="165" fontId="0" fillId="0" borderId="1" xfId="3" applyFont="1" applyBorder="1"/>
    <xf numFmtId="166" fontId="0" fillId="0" borderId="1" xfId="2" applyNumberFormat="1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2" applyFont="1" applyBorder="1"/>
    <xf numFmtId="164" fontId="0" fillId="0" borderId="1" xfId="2" applyFont="1" applyBorder="1" applyAlignment="1">
      <alignment horizontal="left" vertical="center"/>
    </xf>
    <xf numFmtId="0" fontId="5" fillId="0" borderId="9" xfId="0" applyFont="1" applyBorder="1"/>
    <xf numFmtId="0" fontId="0" fillId="0" borderId="0" xfId="0" applyAlignment="1">
      <alignment horizontal="center"/>
    </xf>
    <xf numFmtId="166" fontId="0" fillId="0" borderId="0" xfId="0" applyNumberFormat="1"/>
    <xf numFmtId="167" fontId="0" fillId="0" borderId="1" xfId="3" applyNumberFormat="1" applyFont="1" applyBorder="1"/>
    <xf numFmtId="0" fontId="0" fillId="0" borderId="13" xfId="0" applyBorder="1"/>
    <xf numFmtId="0" fontId="0" fillId="0" borderId="0" xfId="0" applyBorder="1"/>
    <xf numFmtId="0" fontId="5" fillId="0" borderId="0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2" xfId="2" applyFont="1" applyBorder="1" applyAlignment="1">
      <alignment vertical="center"/>
    </xf>
    <xf numFmtId="164" fontId="0" fillId="0" borderId="9" xfId="2" applyFont="1" applyBorder="1" applyAlignment="1">
      <alignment vertical="center"/>
    </xf>
    <xf numFmtId="164" fontId="0" fillId="0" borderId="1" xfId="2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7" fontId="0" fillId="0" borderId="1" xfId="3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0" fillId="0" borderId="16" xfId="0" applyBorder="1"/>
    <xf numFmtId="164" fontId="0" fillId="0" borderId="11" xfId="2" applyFont="1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18" xfId="0" applyFont="1" applyBorder="1" applyAlignment="1">
      <alignment horizontal="center" vertical="center" wrapText="1"/>
    </xf>
    <xf numFmtId="164" fontId="0" fillId="0" borderId="19" xfId="2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164" fontId="0" fillId="0" borderId="21" xfId="0" applyNumberFormat="1" applyBorder="1" applyAlignment="1">
      <alignment vertical="center"/>
    </xf>
    <xf numFmtId="164" fontId="0" fillId="0" borderId="8" xfId="2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4" fontId="0" fillId="0" borderId="17" xfId="0" applyNumberFormat="1" applyBorder="1" applyAlignment="1">
      <alignment vertical="center"/>
    </xf>
    <xf numFmtId="167" fontId="0" fillId="0" borderId="1" xfId="3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8" fontId="0" fillId="0" borderId="1" xfId="3" applyNumberFormat="1" applyFont="1" applyBorder="1" applyAlignment="1">
      <alignment vertical="center"/>
    </xf>
    <xf numFmtId="167" fontId="0" fillId="0" borderId="8" xfId="3" applyNumberFormat="1" applyFont="1" applyBorder="1" applyAlignment="1">
      <alignment horizontal="center" vertical="center"/>
    </xf>
    <xf numFmtId="169" fontId="0" fillId="0" borderId="1" xfId="2" applyNumberFormat="1" applyFont="1" applyBorder="1" applyAlignment="1">
      <alignment vertical="center"/>
    </xf>
    <xf numFmtId="167" fontId="0" fillId="0" borderId="1" xfId="0" applyNumberFormat="1" applyBorder="1"/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" xfId="0" applyFont="1" applyBorder="1"/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15" fontId="7" fillId="0" borderId="0" xfId="0" applyNumberFormat="1" applyFont="1" applyAlignment="1">
      <alignment horizontal="right"/>
    </xf>
    <xf numFmtId="164" fontId="0" fillId="0" borderId="1" xfId="2" applyFont="1" applyFill="1" applyBorder="1" applyAlignment="1">
      <alignment vertical="center"/>
    </xf>
    <xf numFmtId="167" fontId="0" fillId="0" borderId="1" xfId="3" applyNumberFormat="1" applyFont="1" applyFill="1" applyBorder="1" applyAlignment="1">
      <alignment vertical="center"/>
    </xf>
    <xf numFmtId="167" fontId="0" fillId="0" borderId="1" xfId="3" applyNumberFormat="1" applyFont="1" applyFill="1" applyBorder="1"/>
    <xf numFmtId="0" fontId="5" fillId="0" borderId="1" xfId="0" applyFont="1" applyBorder="1" applyAlignment="1">
      <alignment horizontal="center" vertical="center"/>
    </xf>
    <xf numFmtId="167" fontId="0" fillId="0" borderId="2" xfId="3" applyNumberFormat="1" applyFont="1" applyBorder="1" applyAlignment="1">
      <alignment horizontal="center" vertical="center"/>
    </xf>
    <xf numFmtId="167" fontId="0" fillId="0" borderId="1" xfId="3" applyNumberFormat="1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0" fillId="0" borderId="2" xfId="0" applyBorder="1"/>
    <xf numFmtId="0" fontId="5" fillId="0" borderId="1" xfId="0" applyFont="1" applyBorder="1" applyAlignment="1">
      <alignment horizontal="left" vertical="center"/>
    </xf>
    <xf numFmtId="0" fontId="8" fillId="0" borderId="0" xfId="0" applyFont="1"/>
    <xf numFmtId="167" fontId="0" fillId="0" borderId="0" xfId="3" applyNumberFormat="1" applyFont="1"/>
    <xf numFmtId="167" fontId="0" fillId="0" borderId="0" xfId="0" applyNumberFormat="1"/>
    <xf numFmtId="164" fontId="0" fillId="0" borderId="1" xfId="2" applyNumberFormat="1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15" fontId="11" fillId="0" borderId="0" xfId="0" applyNumberFormat="1" applyFont="1" applyAlignment="1">
      <alignment horizontal="right"/>
    </xf>
    <xf numFmtId="0" fontId="9" fillId="0" borderId="0" xfId="0" applyFont="1" applyBorder="1"/>
    <xf numFmtId="0" fontId="10" fillId="0" borderId="13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16" xfId="0" applyFont="1" applyBorder="1"/>
    <xf numFmtId="0" fontId="10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164" fontId="9" fillId="0" borderId="9" xfId="2" applyFont="1" applyBorder="1" applyAlignment="1">
      <alignment vertical="center"/>
    </xf>
    <xf numFmtId="164" fontId="9" fillId="0" borderId="8" xfId="2" applyFont="1" applyBorder="1" applyAlignment="1">
      <alignment vertical="center"/>
    </xf>
    <xf numFmtId="164" fontId="9" fillId="0" borderId="2" xfId="2" applyFont="1" applyBorder="1" applyAlignment="1">
      <alignment vertical="center"/>
    </xf>
    <xf numFmtId="164" fontId="9" fillId="0" borderId="19" xfId="2" applyFont="1" applyBorder="1" applyAlignment="1">
      <alignment vertical="center"/>
    </xf>
    <xf numFmtId="164" fontId="9" fillId="0" borderId="21" xfId="0" applyNumberFormat="1" applyFont="1" applyBorder="1" applyAlignment="1">
      <alignment vertical="center"/>
    </xf>
    <xf numFmtId="164" fontId="9" fillId="0" borderId="11" xfId="2" applyFont="1" applyBorder="1" applyAlignment="1">
      <alignment vertical="center"/>
    </xf>
    <xf numFmtId="164" fontId="9" fillId="0" borderId="17" xfId="0" applyNumberFormat="1" applyFont="1" applyBorder="1" applyAlignment="1">
      <alignment vertical="center"/>
    </xf>
    <xf numFmtId="164" fontId="9" fillId="0" borderId="1" xfId="2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167" fontId="9" fillId="0" borderId="1" xfId="3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32" xfId="0" applyBorder="1"/>
    <xf numFmtId="164" fontId="1" fillId="0" borderId="1" xfId="2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9" fillId="0" borderId="8" xfId="3" applyNumberFormat="1" applyFont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0" fontId="15" fillId="0" borderId="0" xfId="0" applyFont="1"/>
    <xf numFmtId="168" fontId="9" fillId="0" borderId="1" xfId="3" applyNumberFormat="1" applyFont="1" applyBorder="1" applyAlignment="1">
      <alignment vertical="center"/>
    </xf>
    <xf numFmtId="0" fontId="9" fillId="0" borderId="8" xfId="0" applyFont="1" applyBorder="1"/>
    <xf numFmtId="0" fontId="9" fillId="0" borderId="9" xfId="0" applyFont="1" applyBorder="1"/>
    <xf numFmtId="167" fontId="9" fillId="0" borderId="8" xfId="3" applyNumberFormat="1" applyFont="1" applyBorder="1" applyAlignment="1"/>
    <xf numFmtId="0" fontId="9" fillId="0" borderId="1" xfId="0" applyFont="1" applyBorder="1"/>
    <xf numFmtId="168" fontId="9" fillId="0" borderId="8" xfId="3" applyNumberFormat="1" applyFont="1" applyBorder="1" applyAlignment="1">
      <alignment horizontal="center" vertical="center"/>
    </xf>
    <xf numFmtId="165" fontId="9" fillId="0" borderId="8" xfId="3" applyFont="1" applyBorder="1" applyAlignment="1">
      <alignment horizontal="center" vertical="center"/>
    </xf>
    <xf numFmtId="169" fontId="9" fillId="0" borderId="1" xfId="2" applyNumberFormat="1" applyFont="1" applyBorder="1" applyAlignment="1">
      <alignment vertical="center"/>
    </xf>
    <xf numFmtId="0" fontId="12" fillId="0" borderId="1" xfId="0" applyFont="1" applyFill="1" applyBorder="1"/>
    <xf numFmtId="164" fontId="9" fillId="2" borderId="1" xfId="2" applyFont="1" applyFill="1" applyBorder="1" applyAlignment="1">
      <alignment vertical="center"/>
    </xf>
    <xf numFmtId="0" fontId="9" fillId="0" borderId="1" xfId="0" applyFont="1" applyFill="1" applyBorder="1" applyAlignment="1">
      <alignment horizontal="left"/>
    </xf>
    <xf numFmtId="167" fontId="9" fillId="0" borderId="1" xfId="3" applyNumberFormat="1" applyFont="1" applyBorder="1"/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7" fontId="16" fillId="0" borderId="1" xfId="3" applyNumberFormat="1" applyFont="1" applyBorder="1"/>
    <xf numFmtId="164" fontId="0" fillId="0" borderId="1" xfId="2" applyNumberFormat="1" applyFont="1" applyBorder="1"/>
    <xf numFmtId="167" fontId="9" fillId="0" borderId="0" xfId="0" applyNumberFormat="1" applyFont="1"/>
    <xf numFmtId="0" fontId="9" fillId="3" borderId="1" xfId="0" applyFont="1" applyFill="1" applyBorder="1"/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0" fillId="3" borderId="1" xfId="2" applyFont="1" applyFill="1" applyBorder="1" applyAlignment="1">
      <alignment vertical="center"/>
    </xf>
  </cellXfs>
  <cellStyles count="4">
    <cellStyle name="Comma" xfId="3" builtinId="3"/>
    <cellStyle name="Comma [0]" xfId="2" builtinId="6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47"/>
  <sheetViews>
    <sheetView topLeftCell="A10" zoomScaleNormal="100" workbookViewId="0">
      <selection activeCell="L81" sqref="L81"/>
    </sheetView>
  </sheetViews>
  <sheetFormatPr defaultRowHeight="15" x14ac:dyDescent="0.25"/>
  <cols>
    <col min="1" max="1" width="5.7109375" style="1" customWidth="1"/>
    <col min="2" max="2" width="31" style="1" customWidth="1"/>
    <col min="3" max="3" width="12.42578125" style="44" customWidth="1"/>
    <col min="4" max="4" width="13.140625" style="44" customWidth="1"/>
    <col min="5" max="5" width="13.42578125" style="1" hidden="1" customWidth="1"/>
    <col min="6" max="7" width="10.42578125" style="1" customWidth="1"/>
    <col min="8" max="9" width="11" style="1" customWidth="1"/>
    <col min="10" max="11" width="10" style="1" bestFit="1" customWidth="1"/>
    <col min="12" max="12" width="14.28515625" style="1" bestFit="1" customWidth="1"/>
    <col min="13" max="13" width="9.85546875" style="1" customWidth="1"/>
    <col min="14" max="15" width="10" style="1" bestFit="1" customWidth="1"/>
    <col min="16" max="16" width="10.7109375" style="1" customWidth="1"/>
    <col min="17" max="17" width="10.85546875" style="1" customWidth="1"/>
    <col min="18" max="18" width="11" style="1" customWidth="1"/>
    <col min="19" max="19" width="10.28515625" style="1" customWidth="1"/>
    <col min="20" max="20" width="12.42578125" style="1" customWidth="1"/>
    <col min="21" max="21" width="9" style="1" customWidth="1"/>
    <col min="22" max="22" width="10.85546875" style="1" customWidth="1"/>
    <col min="23" max="23" width="9.85546875" style="1" customWidth="1"/>
    <col min="24" max="24" width="8.85546875" style="1" customWidth="1"/>
    <col min="25" max="25" width="8.5703125" style="1" customWidth="1"/>
    <col min="26" max="16384" width="9.140625" style="1"/>
  </cols>
  <sheetData>
    <row r="2" spans="1:25" ht="21" x14ac:dyDescent="0.35">
      <c r="A2" s="75"/>
      <c r="B2" s="124" t="s">
        <v>420</v>
      </c>
      <c r="C2" s="77"/>
      <c r="D2" s="77"/>
      <c r="E2" s="76"/>
      <c r="F2" s="76"/>
      <c r="G2" s="76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15.75" thickBot="1" x14ac:dyDescent="0.3">
      <c r="A3" s="75"/>
      <c r="B3" s="75"/>
      <c r="C3" s="78"/>
      <c r="D3" s="78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9" t="s">
        <v>181</v>
      </c>
      <c r="V3" s="80">
        <v>45991</v>
      </c>
      <c r="W3" s="75"/>
      <c r="X3" s="75"/>
      <c r="Y3" s="75"/>
    </row>
    <row r="4" spans="1:25" ht="29.25" customHeight="1" thickBot="1" x14ac:dyDescent="0.3">
      <c r="A4" s="151" t="s">
        <v>0</v>
      </c>
      <c r="B4" s="151" t="s">
        <v>1</v>
      </c>
      <c r="C4" s="151" t="s">
        <v>175</v>
      </c>
      <c r="D4" s="148" t="s">
        <v>187</v>
      </c>
      <c r="E4" s="154" t="s">
        <v>41</v>
      </c>
      <c r="F4" s="154" t="s">
        <v>41</v>
      </c>
      <c r="G4" s="112"/>
      <c r="H4" s="155" t="s">
        <v>171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T4" s="146" t="s">
        <v>170</v>
      </c>
      <c r="U4" s="146"/>
      <c r="V4" s="147"/>
      <c r="W4" s="145" t="s">
        <v>179</v>
      </c>
      <c r="X4" s="146"/>
      <c r="Y4" s="147"/>
    </row>
    <row r="5" spans="1:25" ht="15.75" customHeight="1" thickBot="1" x14ac:dyDescent="0.3">
      <c r="A5" s="152"/>
      <c r="B5" s="152"/>
      <c r="C5" s="152"/>
      <c r="D5" s="149"/>
      <c r="E5" s="152"/>
      <c r="F5" s="152"/>
      <c r="G5" s="120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2"/>
      <c r="U5" s="83"/>
      <c r="V5" s="84"/>
      <c r="W5" s="82"/>
      <c r="X5" s="83"/>
      <c r="Y5" s="84"/>
    </row>
    <row r="6" spans="1:25" ht="45.75" customHeight="1" thickBot="1" x14ac:dyDescent="0.3">
      <c r="A6" s="153"/>
      <c r="B6" s="153"/>
      <c r="C6" s="153"/>
      <c r="D6" s="150"/>
      <c r="E6" s="153"/>
      <c r="F6" s="157"/>
      <c r="G6" s="121" t="s">
        <v>169</v>
      </c>
      <c r="H6" s="121" t="s">
        <v>80</v>
      </c>
      <c r="I6" s="121" t="s">
        <v>83</v>
      </c>
      <c r="J6" s="121" t="s">
        <v>145</v>
      </c>
      <c r="K6" s="121" t="s">
        <v>146</v>
      </c>
      <c r="L6" s="85" t="s">
        <v>147</v>
      </c>
      <c r="M6" s="85" t="s">
        <v>174</v>
      </c>
      <c r="N6" s="85" t="s">
        <v>148</v>
      </c>
      <c r="O6" s="85" t="s">
        <v>149</v>
      </c>
      <c r="P6" s="85" t="s">
        <v>162</v>
      </c>
      <c r="Q6" s="86" t="s">
        <v>168</v>
      </c>
      <c r="R6" s="86" t="s">
        <v>167</v>
      </c>
      <c r="S6" s="87" t="s">
        <v>169</v>
      </c>
      <c r="T6" s="88" t="s">
        <v>180</v>
      </c>
      <c r="U6" s="85" t="s">
        <v>172</v>
      </c>
      <c r="V6" s="89" t="s">
        <v>173</v>
      </c>
      <c r="W6" s="88" t="s">
        <v>180</v>
      </c>
      <c r="X6" s="85" t="s">
        <v>172</v>
      </c>
      <c r="Y6" s="89" t="s">
        <v>173</v>
      </c>
    </row>
    <row r="7" spans="1:25" s="26" customFormat="1" ht="20.25" customHeight="1" x14ac:dyDescent="0.25">
      <c r="A7" s="90">
        <v>1</v>
      </c>
      <c r="B7" s="91" t="s">
        <v>178</v>
      </c>
      <c r="C7" s="92" t="s">
        <v>176</v>
      </c>
      <c r="D7" s="92" t="s">
        <v>188</v>
      </c>
      <c r="E7" s="92" t="s">
        <v>44</v>
      </c>
      <c r="F7" s="92" t="s">
        <v>304</v>
      </c>
      <c r="G7" s="122">
        <v>220000</v>
      </c>
      <c r="H7" s="94">
        <v>220000</v>
      </c>
      <c r="I7" s="94">
        <v>225000</v>
      </c>
      <c r="J7" s="94"/>
      <c r="K7" s="94"/>
      <c r="L7" s="94"/>
      <c r="M7" s="94"/>
      <c r="N7" s="94"/>
      <c r="O7" s="94"/>
      <c r="P7" s="94"/>
      <c r="Q7" s="94"/>
      <c r="R7" s="94"/>
      <c r="S7" s="94"/>
      <c r="T7" s="95" cm="1">
        <f t="array" ref="T7">SUM(G7:S7/2)</f>
        <v>332500</v>
      </c>
      <c r="U7" s="96">
        <v>5000</v>
      </c>
      <c r="V7" s="97">
        <f>U7+T7</f>
        <v>337500</v>
      </c>
      <c r="W7" s="95"/>
      <c r="X7" s="96">
        <v>5000</v>
      </c>
      <c r="Y7" s="97">
        <f>X7+W7</f>
        <v>5000</v>
      </c>
    </row>
    <row r="8" spans="1:25" s="26" customFormat="1" ht="20.25" customHeight="1" x14ac:dyDescent="0.25">
      <c r="A8" s="90">
        <v>2</v>
      </c>
      <c r="B8" s="91" t="s">
        <v>185</v>
      </c>
      <c r="C8" s="92" t="s">
        <v>177</v>
      </c>
      <c r="D8" s="92" t="s">
        <v>188</v>
      </c>
      <c r="E8" s="92" t="s">
        <v>44</v>
      </c>
      <c r="F8" s="92" t="s">
        <v>304</v>
      </c>
      <c r="G8" s="122">
        <v>196000</v>
      </c>
      <c r="H8" s="95">
        <v>196000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 cm="1">
        <f t="array" ref="T8">SUM(G8:S8/2)</f>
        <v>196000</v>
      </c>
      <c r="U8" s="98">
        <v>0</v>
      </c>
      <c r="V8" s="99">
        <f t="shared" ref="V8:V95" si="0">U8+T8</f>
        <v>196000</v>
      </c>
      <c r="W8" s="100"/>
      <c r="X8" s="98">
        <v>0</v>
      </c>
      <c r="Y8" s="101"/>
    </row>
    <row r="9" spans="1:25" s="26" customFormat="1" ht="20.25" customHeight="1" x14ac:dyDescent="0.25">
      <c r="A9" s="90">
        <v>3</v>
      </c>
      <c r="B9" s="91" t="s">
        <v>186</v>
      </c>
      <c r="C9" s="92" t="s">
        <v>177</v>
      </c>
      <c r="D9" s="92" t="s">
        <v>188</v>
      </c>
      <c r="E9" s="92" t="s">
        <v>44</v>
      </c>
      <c r="F9" s="92" t="s">
        <v>304</v>
      </c>
      <c r="G9" s="122">
        <v>220000</v>
      </c>
      <c r="H9" s="95">
        <v>220000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 cm="1">
        <f t="array" ref="T9">SUM(G9:S9/2)</f>
        <v>220000</v>
      </c>
      <c r="U9" s="98">
        <v>0</v>
      </c>
      <c r="V9" s="99">
        <f t="shared" si="0"/>
        <v>220000</v>
      </c>
      <c r="W9" s="100"/>
      <c r="X9" s="98"/>
      <c r="Y9" s="101"/>
    </row>
    <row r="10" spans="1:25" s="26" customFormat="1" ht="18.75" customHeight="1" x14ac:dyDescent="0.25">
      <c r="A10" s="90">
        <v>4</v>
      </c>
      <c r="B10" s="102" t="s">
        <v>190</v>
      </c>
      <c r="C10" s="92" t="s">
        <v>177</v>
      </c>
      <c r="D10" s="92" t="s">
        <v>188</v>
      </c>
      <c r="E10" s="92" t="s">
        <v>44</v>
      </c>
      <c r="F10" s="92" t="s">
        <v>304</v>
      </c>
      <c r="G10" s="122">
        <v>240000</v>
      </c>
      <c r="H10" s="100">
        <v>240000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95" cm="1">
        <f t="array" ref="T10">SUM(G10:S10/2)</f>
        <v>240000</v>
      </c>
      <c r="U10" s="98">
        <v>0</v>
      </c>
      <c r="V10" s="99">
        <f t="shared" si="0"/>
        <v>240000</v>
      </c>
      <c r="W10" s="100"/>
      <c r="X10" s="98"/>
      <c r="Y10" s="101"/>
    </row>
    <row r="11" spans="1:25" s="26" customFormat="1" ht="18.75" customHeight="1" x14ac:dyDescent="0.25">
      <c r="A11" s="90">
        <v>5</v>
      </c>
      <c r="B11" s="103" t="s">
        <v>105</v>
      </c>
      <c r="C11" s="92" t="s">
        <v>177</v>
      </c>
      <c r="D11" s="92" t="s">
        <v>188</v>
      </c>
      <c r="E11" s="92" t="s">
        <v>44</v>
      </c>
      <c r="F11" s="92" t="s">
        <v>304</v>
      </c>
      <c r="G11" s="122">
        <v>199000</v>
      </c>
      <c r="H11" s="100">
        <v>199000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5" cm="1">
        <f t="array" ref="T11">SUM(G11:S11/2)</f>
        <v>199000</v>
      </c>
      <c r="U11" s="98">
        <v>0</v>
      </c>
      <c r="V11" s="99">
        <f t="shared" si="0"/>
        <v>199000</v>
      </c>
      <c r="W11" s="100"/>
      <c r="X11" s="98"/>
      <c r="Y11" s="101"/>
    </row>
    <row r="12" spans="1:25" s="26" customFormat="1" ht="16.5" customHeight="1" x14ac:dyDescent="0.25">
      <c r="A12" s="90">
        <v>6</v>
      </c>
      <c r="B12" s="102" t="s">
        <v>3</v>
      </c>
      <c r="C12" s="92" t="s">
        <v>177</v>
      </c>
      <c r="D12" s="92" t="s">
        <v>188</v>
      </c>
      <c r="E12" s="92" t="s">
        <v>44</v>
      </c>
      <c r="F12" s="92" t="s">
        <v>304</v>
      </c>
      <c r="G12" s="122">
        <v>170000</v>
      </c>
      <c r="H12" s="100">
        <v>170000</v>
      </c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95" cm="1">
        <f t="array" ref="T12">SUM(G12:S12/2)</f>
        <v>170000</v>
      </c>
      <c r="U12" s="98">
        <v>0</v>
      </c>
      <c r="V12" s="99">
        <f t="shared" si="0"/>
        <v>170000</v>
      </c>
      <c r="W12" s="100"/>
      <c r="X12" s="98"/>
      <c r="Y12" s="101"/>
    </row>
    <row r="13" spans="1:25" s="26" customFormat="1" ht="18" customHeight="1" x14ac:dyDescent="0.25">
      <c r="A13" s="90">
        <v>7</v>
      </c>
      <c r="B13" s="102" t="s">
        <v>129</v>
      </c>
      <c r="C13" s="92" t="s">
        <v>177</v>
      </c>
      <c r="D13" s="92" t="s">
        <v>188</v>
      </c>
      <c r="E13" s="92" t="s">
        <v>44</v>
      </c>
      <c r="F13" s="92" t="s">
        <v>304</v>
      </c>
      <c r="G13" s="122">
        <v>132000</v>
      </c>
      <c r="H13" s="100">
        <v>132000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95" cm="1">
        <f t="array" ref="T13">SUM(G13:S13/2)</f>
        <v>132000</v>
      </c>
      <c r="U13" s="98">
        <v>0</v>
      </c>
      <c r="V13" s="99">
        <f t="shared" si="0"/>
        <v>132000</v>
      </c>
      <c r="W13" s="100"/>
      <c r="X13" s="98"/>
      <c r="Y13" s="101"/>
    </row>
    <row r="14" spans="1:25" s="26" customFormat="1" ht="18" customHeight="1" x14ac:dyDescent="0.25">
      <c r="A14" s="90">
        <v>8</v>
      </c>
      <c r="B14" s="102" t="s">
        <v>130</v>
      </c>
      <c r="C14" s="92" t="s">
        <v>177</v>
      </c>
      <c r="D14" s="92" t="s">
        <v>188</v>
      </c>
      <c r="E14" s="92" t="s">
        <v>44</v>
      </c>
      <c r="F14" s="92" t="s">
        <v>304</v>
      </c>
      <c r="G14" s="122"/>
      <c r="H14" s="100">
        <v>0</v>
      </c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95" cm="1">
        <f t="array" ref="T14">SUM(G14:S14/2)</f>
        <v>0</v>
      </c>
      <c r="U14" s="98">
        <v>0</v>
      </c>
      <c r="V14" s="99">
        <f t="shared" si="0"/>
        <v>0</v>
      </c>
      <c r="W14" s="100"/>
      <c r="X14" s="98"/>
      <c r="Y14" s="101"/>
    </row>
    <row r="15" spans="1:25" s="26" customFormat="1" ht="16.5" customHeight="1" x14ac:dyDescent="0.25">
      <c r="A15" s="90">
        <v>9</v>
      </c>
      <c r="B15" s="102" t="s">
        <v>150</v>
      </c>
      <c r="C15" s="92" t="s">
        <v>177</v>
      </c>
      <c r="D15" s="92" t="s">
        <v>188</v>
      </c>
      <c r="E15" s="92" t="s">
        <v>44</v>
      </c>
      <c r="F15" s="92" t="s">
        <v>304</v>
      </c>
      <c r="G15" s="122">
        <v>78000</v>
      </c>
      <c r="H15" s="100">
        <v>78000</v>
      </c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95" cm="1">
        <f t="array" ref="T15">SUM(G15:S15/2)</f>
        <v>78000</v>
      </c>
      <c r="U15" s="98">
        <v>0</v>
      </c>
      <c r="V15" s="99">
        <f t="shared" si="0"/>
        <v>78000</v>
      </c>
      <c r="W15" s="100"/>
      <c r="X15" s="98"/>
      <c r="Y15" s="101"/>
    </row>
    <row r="16" spans="1:25" s="26" customFormat="1" ht="19.5" customHeight="1" x14ac:dyDescent="0.25">
      <c r="A16" s="90">
        <v>10</v>
      </c>
      <c r="B16" s="102" t="s">
        <v>4</v>
      </c>
      <c r="C16" s="92" t="s">
        <v>177</v>
      </c>
      <c r="D16" s="92" t="s">
        <v>188</v>
      </c>
      <c r="E16" s="92" t="s">
        <v>44</v>
      </c>
      <c r="F16" s="92" t="s">
        <v>304</v>
      </c>
      <c r="G16" s="122">
        <v>54000</v>
      </c>
      <c r="H16" s="100">
        <v>54000</v>
      </c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95" cm="1">
        <f t="array" ref="T16">SUM(G16:S16/2)</f>
        <v>54000</v>
      </c>
      <c r="U16" s="98">
        <v>0</v>
      </c>
      <c r="V16" s="99">
        <f t="shared" si="0"/>
        <v>54000</v>
      </c>
      <c r="W16" s="100"/>
      <c r="X16" s="98"/>
      <c r="Y16" s="101"/>
    </row>
    <row r="17" spans="1:25" s="26" customFormat="1" ht="19.5" customHeight="1" x14ac:dyDescent="0.25">
      <c r="A17" s="90">
        <v>11</v>
      </c>
      <c r="B17" s="102" t="s">
        <v>200</v>
      </c>
      <c r="C17" s="92" t="s">
        <v>177</v>
      </c>
      <c r="D17" s="92" t="s">
        <v>188</v>
      </c>
      <c r="E17" s="92" t="s">
        <v>44</v>
      </c>
      <c r="F17" s="92" t="s">
        <v>304</v>
      </c>
      <c r="G17" s="122">
        <v>75000</v>
      </c>
      <c r="H17" s="122">
        <v>75000</v>
      </c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95" cm="1">
        <f t="array" ref="T17">SUM(G17:S17/2)</f>
        <v>75000</v>
      </c>
      <c r="U17" s="98">
        <v>0</v>
      </c>
      <c r="V17" s="99">
        <f t="shared" si="0"/>
        <v>75000</v>
      </c>
      <c r="W17" s="100"/>
      <c r="X17" s="98"/>
      <c r="Y17" s="101"/>
    </row>
    <row r="18" spans="1:25" s="26" customFormat="1" ht="19.5" customHeight="1" x14ac:dyDescent="0.25">
      <c r="A18" s="90">
        <v>12</v>
      </c>
      <c r="B18" s="102" t="s">
        <v>201</v>
      </c>
      <c r="C18" s="92" t="s">
        <v>177</v>
      </c>
      <c r="D18" s="92" t="s">
        <v>188</v>
      </c>
      <c r="E18" s="92" t="s">
        <v>44</v>
      </c>
      <c r="F18" s="92" t="s">
        <v>304</v>
      </c>
      <c r="G18" s="122">
        <v>132000</v>
      </c>
      <c r="H18" s="122">
        <v>132000</v>
      </c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95" cm="1">
        <f t="array" ref="T18">SUM(G18:S18/2)</f>
        <v>132000</v>
      </c>
      <c r="U18" s="98">
        <v>0</v>
      </c>
      <c r="V18" s="99">
        <f t="shared" si="0"/>
        <v>132000</v>
      </c>
      <c r="W18" s="100"/>
      <c r="X18" s="98"/>
      <c r="Y18" s="101"/>
    </row>
    <row r="19" spans="1:25" s="26" customFormat="1" ht="19.5" customHeight="1" x14ac:dyDescent="0.25">
      <c r="A19" s="90">
        <v>13</v>
      </c>
      <c r="B19" s="102" t="s">
        <v>202</v>
      </c>
      <c r="C19" s="92" t="s">
        <v>177</v>
      </c>
      <c r="D19" s="92" t="s">
        <v>188</v>
      </c>
      <c r="E19" s="92" t="s">
        <v>44</v>
      </c>
      <c r="F19" s="92" t="s">
        <v>304</v>
      </c>
      <c r="G19" s="122"/>
      <c r="H19" s="100">
        <v>0</v>
      </c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95" cm="1">
        <f t="array" ref="T19">SUM(G19:S19/2)</f>
        <v>0</v>
      </c>
      <c r="U19" s="98">
        <v>0</v>
      </c>
      <c r="V19" s="99">
        <f t="shared" si="0"/>
        <v>0</v>
      </c>
      <c r="W19" s="100"/>
      <c r="X19" s="98"/>
      <c r="Y19" s="101"/>
    </row>
    <row r="20" spans="1:25" s="26" customFormat="1" ht="19.5" customHeight="1" x14ac:dyDescent="0.25">
      <c r="A20" s="90">
        <v>14</v>
      </c>
      <c r="B20" s="102" t="s">
        <v>78</v>
      </c>
      <c r="C20" s="92" t="s">
        <v>177</v>
      </c>
      <c r="D20" s="92" t="s">
        <v>188</v>
      </c>
      <c r="E20" s="92" t="s">
        <v>44</v>
      </c>
      <c r="F20" s="92" t="s">
        <v>304</v>
      </c>
      <c r="G20" s="122"/>
      <c r="H20" s="100">
        <v>0</v>
      </c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95" cm="1">
        <f t="array" ref="T20">SUM(G20:S20/2)</f>
        <v>0</v>
      </c>
      <c r="U20" s="98">
        <v>0</v>
      </c>
      <c r="V20" s="99">
        <f t="shared" si="0"/>
        <v>0</v>
      </c>
      <c r="W20" s="100"/>
      <c r="X20" s="98"/>
      <c r="Y20" s="101"/>
    </row>
    <row r="21" spans="1:25" s="26" customFormat="1" ht="19.5" customHeight="1" x14ac:dyDescent="0.25">
      <c r="A21" s="90">
        <v>15</v>
      </c>
      <c r="B21" s="102" t="s">
        <v>203</v>
      </c>
      <c r="C21" s="92" t="s">
        <v>177</v>
      </c>
      <c r="D21" s="92" t="s">
        <v>188</v>
      </c>
      <c r="E21" s="92" t="s">
        <v>44</v>
      </c>
      <c r="F21" s="92" t="s">
        <v>304</v>
      </c>
      <c r="G21" s="122"/>
      <c r="H21" s="100">
        <v>0</v>
      </c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95" cm="1">
        <f t="array" ref="T21">SUM(G21:S21/2)</f>
        <v>0</v>
      </c>
      <c r="U21" s="98">
        <v>0</v>
      </c>
      <c r="V21" s="99">
        <f t="shared" si="0"/>
        <v>0</v>
      </c>
      <c r="W21" s="100"/>
      <c r="X21" s="98"/>
      <c r="Y21" s="101"/>
    </row>
    <row r="22" spans="1:25" s="26" customFormat="1" ht="19.5" customHeight="1" x14ac:dyDescent="0.25">
      <c r="A22" s="90">
        <v>16</v>
      </c>
      <c r="B22" s="102" t="s">
        <v>229</v>
      </c>
      <c r="C22" s="92" t="s">
        <v>177</v>
      </c>
      <c r="D22" s="92" t="s">
        <v>188</v>
      </c>
      <c r="E22" s="92" t="s">
        <v>44</v>
      </c>
      <c r="F22" s="92" t="s">
        <v>304</v>
      </c>
      <c r="G22" s="122"/>
      <c r="H22" s="100">
        <v>0</v>
      </c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95" cm="1">
        <f t="array" ref="T22">SUM(G22:S22/2)</f>
        <v>0</v>
      </c>
      <c r="U22" s="98">
        <v>0</v>
      </c>
      <c r="V22" s="99">
        <f t="shared" si="0"/>
        <v>0</v>
      </c>
      <c r="W22" s="100"/>
      <c r="X22" s="98"/>
      <c r="Y22" s="101"/>
    </row>
    <row r="23" spans="1:25" s="26" customFormat="1" ht="17.25" customHeight="1" x14ac:dyDescent="0.25">
      <c r="A23" s="90">
        <v>17</v>
      </c>
      <c r="B23" s="102" t="s">
        <v>5</v>
      </c>
      <c r="C23" s="92" t="s">
        <v>177</v>
      </c>
      <c r="D23" s="92" t="s">
        <v>188</v>
      </c>
      <c r="E23" s="92" t="s">
        <v>44</v>
      </c>
      <c r="F23" s="92" t="s">
        <v>304</v>
      </c>
      <c r="G23" s="122">
        <v>130000</v>
      </c>
      <c r="H23" s="100">
        <v>130000</v>
      </c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95" cm="1">
        <f t="array" ref="T23">SUM(G23:S23/2)</f>
        <v>130000</v>
      </c>
      <c r="U23" s="98">
        <v>0</v>
      </c>
      <c r="V23" s="99">
        <f t="shared" si="0"/>
        <v>130000</v>
      </c>
      <c r="W23" s="100"/>
      <c r="X23" s="98"/>
      <c r="Y23" s="101"/>
    </row>
    <row r="24" spans="1:25" s="26" customFormat="1" x14ac:dyDescent="0.25">
      <c r="A24" s="90">
        <v>18</v>
      </c>
      <c r="B24" s="104" t="s">
        <v>6</v>
      </c>
      <c r="C24" s="92" t="s">
        <v>177</v>
      </c>
      <c r="D24" s="92" t="s">
        <v>188</v>
      </c>
      <c r="E24" s="92" t="s">
        <v>44</v>
      </c>
      <c r="F24" s="92" t="s">
        <v>304</v>
      </c>
      <c r="G24" s="122">
        <v>248000</v>
      </c>
      <c r="H24" s="100">
        <v>248000</v>
      </c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95" cm="1">
        <f t="array" ref="T24">SUM(G24:S24/2)</f>
        <v>248000</v>
      </c>
      <c r="U24" s="98">
        <v>0</v>
      </c>
      <c r="V24" s="99">
        <f t="shared" si="0"/>
        <v>248000</v>
      </c>
      <c r="W24" s="100"/>
      <c r="X24" s="98"/>
      <c r="Y24" s="101"/>
    </row>
    <row r="25" spans="1:25" s="26" customFormat="1" x14ac:dyDescent="0.25">
      <c r="A25" s="90">
        <v>19</v>
      </c>
      <c r="B25" s="104" t="s">
        <v>7</v>
      </c>
      <c r="C25" s="92" t="s">
        <v>177</v>
      </c>
      <c r="D25" s="92" t="s">
        <v>188</v>
      </c>
      <c r="E25" s="92" t="s">
        <v>44</v>
      </c>
      <c r="F25" s="92" t="s">
        <v>304</v>
      </c>
      <c r="G25" s="122">
        <v>45000</v>
      </c>
      <c r="H25" s="100">
        <v>45000</v>
      </c>
      <c r="I25" s="100"/>
      <c r="J25" s="93"/>
      <c r="K25" s="93"/>
      <c r="L25" s="93"/>
      <c r="M25" s="93"/>
      <c r="N25" s="93"/>
      <c r="O25" s="93"/>
      <c r="P25" s="100"/>
      <c r="Q25" s="100"/>
      <c r="R25" s="100"/>
      <c r="S25" s="100"/>
      <c r="T25" s="95" cm="1">
        <f t="array" ref="T25">SUM(G25:S25/2)</f>
        <v>45000</v>
      </c>
      <c r="U25" s="98">
        <v>0</v>
      </c>
      <c r="V25" s="99">
        <f t="shared" si="0"/>
        <v>45000</v>
      </c>
      <c r="W25" s="100"/>
      <c r="X25" s="98"/>
      <c r="Y25" s="101"/>
    </row>
    <row r="26" spans="1:25" s="26" customFormat="1" x14ac:dyDescent="0.25">
      <c r="A26" s="90">
        <v>20</v>
      </c>
      <c r="B26" s="104" t="s">
        <v>204</v>
      </c>
      <c r="C26" s="92" t="s">
        <v>177</v>
      </c>
      <c r="D26" s="92" t="s">
        <v>188</v>
      </c>
      <c r="E26" s="92" t="s">
        <v>44</v>
      </c>
      <c r="F26" s="92" t="s">
        <v>304</v>
      </c>
      <c r="G26" s="122">
        <v>110000</v>
      </c>
      <c r="H26" s="100">
        <v>110000</v>
      </c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95" cm="1">
        <f t="array" ref="T26">SUM(G26:S26/2)</f>
        <v>110000</v>
      </c>
      <c r="U26" s="98">
        <v>0</v>
      </c>
      <c r="V26" s="99">
        <f t="shared" si="0"/>
        <v>110000</v>
      </c>
      <c r="W26" s="100"/>
      <c r="X26" s="98"/>
      <c r="Y26" s="101"/>
    </row>
    <row r="27" spans="1:25" s="26" customFormat="1" x14ac:dyDescent="0.25">
      <c r="A27" s="90">
        <v>21</v>
      </c>
      <c r="B27" s="104" t="s">
        <v>205</v>
      </c>
      <c r="C27" s="92" t="s">
        <v>177</v>
      </c>
      <c r="D27" s="92" t="s">
        <v>188</v>
      </c>
      <c r="E27" s="92" t="s">
        <v>44</v>
      </c>
      <c r="F27" s="92" t="s">
        <v>304</v>
      </c>
      <c r="G27" s="122">
        <v>135000</v>
      </c>
      <c r="H27" s="100">
        <v>135000</v>
      </c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95" cm="1">
        <f t="array" ref="T27">SUM(G27:S27/2)</f>
        <v>135000</v>
      </c>
      <c r="U27" s="98">
        <v>0</v>
      </c>
      <c r="V27" s="99">
        <f t="shared" si="0"/>
        <v>135000</v>
      </c>
      <c r="W27" s="100"/>
      <c r="X27" s="98"/>
      <c r="Y27" s="101"/>
    </row>
    <row r="28" spans="1:25" s="26" customFormat="1" x14ac:dyDescent="0.25">
      <c r="A28" s="90">
        <v>22</v>
      </c>
      <c r="B28" s="104" t="s">
        <v>206</v>
      </c>
      <c r="C28" s="92" t="s">
        <v>177</v>
      </c>
      <c r="D28" s="92" t="s">
        <v>188</v>
      </c>
      <c r="E28" s="92" t="s">
        <v>44</v>
      </c>
      <c r="F28" s="92" t="s">
        <v>304</v>
      </c>
      <c r="G28" s="122">
        <v>170000</v>
      </c>
      <c r="H28" s="100">
        <v>170000</v>
      </c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95" cm="1">
        <f t="array" ref="T28">SUM(G28:S28/2)</f>
        <v>170000</v>
      </c>
      <c r="U28" s="98">
        <v>0</v>
      </c>
      <c r="V28" s="99">
        <f t="shared" si="0"/>
        <v>170000</v>
      </c>
      <c r="W28" s="100"/>
      <c r="X28" s="98"/>
      <c r="Y28" s="101"/>
    </row>
    <row r="29" spans="1:25" s="26" customFormat="1" x14ac:dyDescent="0.25">
      <c r="A29" s="90">
        <v>23</v>
      </c>
      <c r="B29" s="104" t="s">
        <v>207</v>
      </c>
      <c r="C29" s="92" t="s">
        <v>177</v>
      </c>
      <c r="D29" s="92" t="s">
        <v>188</v>
      </c>
      <c r="E29" s="92" t="s">
        <v>44</v>
      </c>
      <c r="F29" s="92" t="s">
        <v>304</v>
      </c>
      <c r="G29" s="122">
        <v>225000</v>
      </c>
      <c r="H29" s="100">
        <v>225000</v>
      </c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95" cm="1">
        <f t="array" ref="T29">SUM(G29:S29/2)</f>
        <v>225000</v>
      </c>
      <c r="U29" s="98">
        <v>0</v>
      </c>
      <c r="V29" s="99">
        <f t="shared" si="0"/>
        <v>225000</v>
      </c>
      <c r="W29" s="100"/>
      <c r="X29" s="98"/>
      <c r="Y29" s="101"/>
    </row>
    <row r="30" spans="1:25" s="26" customFormat="1" x14ac:dyDescent="0.25">
      <c r="A30" s="90">
        <v>24</v>
      </c>
      <c r="B30" s="104" t="s">
        <v>208</v>
      </c>
      <c r="C30" s="92" t="s">
        <v>177</v>
      </c>
      <c r="D30" s="92" t="s">
        <v>188</v>
      </c>
      <c r="E30" s="92" t="s">
        <v>44</v>
      </c>
      <c r="F30" s="92" t="s">
        <v>304</v>
      </c>
      <c r="G30" s="122">
        <v>248000</v>
      </c>
      <c r="H30" s="100">
        <v>248000</v>
      </c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95" cm="1">
        <f t="array" ref="T30">SUM(G30:S30/2)</f>
        <v>248000</v>
      </c>
      <c r="U30" s="98">
        <v>0</v>
      </c>
      <c r="V30" s="99">
        <f t="shared" si="0"/>
        <v>248000</v>
      </c>
      <c r="W30" s="100"/>
      <c r="X30" s="98"/>
      <c r="Y30" s="101"/>
    </row>
    <row r="31" spans="1:25" s="26" customFormat="1" x14ac:dyDescent="0.25">
      <c r="A31" s="90">
        <v>25</v>
      </c>
      <c r="B31" s="104" t="s">
        <v>131</v>
      </c>
      <c r="C31" s="92" t="s">
        <v>177</v>
      </c>
      <c r="D31" s="92" t="s">
        <v>188</v>
      </c>
      <c r="E31" s="92" t="s">
        <v>44</v>
      </c>
      <c r="F31" s="92" t="s">
        <v>304</v>
      </c>
      <c r="G31" s="122">
        <v>59000</v>
      </c>
      <c r="H31" s="100">
        <v>59000</v>
      </c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95" cm="1">
        <f t="array" ref="T31">SUM(G31:S31/2)</f>
        <v>59000</v>
      </c>
      <c r="U31" s="98">
        <v>0</v>
      </c>
      <c r="V31" s="99">
        <f t="shared" si="0"/>
        <v>59000</v>
      </c>
      <c r="W31" s="100"/>
      <c r="X31" s="98"/>
      <c r="Y31" s="101"/>
    </row>
    <row r="32" spans="1:25" s="26" customFormat="1" x14ac:dyDescent="0.25">
      <c r="A32" s="90">
        <v>26</v>
      </c>
      <c r="B32" s="104" t="s">
        <v>209</v>
      </c>
      <c r="C32" s="92" t="s">
        <v>177</v>
      </c>
      <c r="D32" s="92" t="s">
        <v>188</v>
      </c>
      <c r="E32" s="92" t="s">
        <v>44</v>
      </c>
      <c r="F32" s="92" t="s">
        <v>304</v>
      </c>
      <c r="G32" s="122">
        <v>128000</v>
      </c>
      <c r="H32" s="100">
        <v>128000</v>
      </c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95" cm="1">
        <f t="array" ref="T32">SUM(G32:S32/2)</f>
        <v>128000</v>
      </c>
      <c r="U32" s="98">
        <v>0</v>
      </c>
      <c r="V32" s="99">
        <f t="shared" si="0"/>
        <v>128000</v>
      </c>
      <c r="W32" s="100"/>
      <c r="X32" s="98"/>
      <c r="Y32" s="101"/>
    </row>
    <row r="33" spans="1:25" s="26" customFormat="1" x14ac:dyDescent="0.25">
      <c r="A33" s="90">
        <v>27</v>
      </c>
      <c r="B33" s="104" t="s">
        <v>210</v>
      </c>
      <c r="C33" s="92" t="s">
        <v>177</v>
      </c>
      <c r="D33" s="92" t="s">
        <v>188</v>
      </c>
      <c r="E33" s="92" t="s">
        <v>44</v>
      </c>
      <c r="F33" s="92" t="s">
        <v>304</v>
      </c>
      <c r="G33" s="122">
        <v>185000</v>
      </c>
      <c r="H33" s="100">
        <v>185000</v>
      </c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95" cm="1">
        <f t="array" ref="T33">SUM(G33:S33/2)</f>
        <v>185000</v>
      </c>
      <c r="U33" s="98">
        <v>0</v>
      </c>
      <c r="V33" s="99">
        <f t="shared" si="0"/>
        <v>185000</v>
      </c>
      <c r="W33" s="100"/>
      <c r="X33" s="98"/>
      <c r="Y33" s="101"/>
    </row>
    <row r="34" spans="1:25" s="26" customFormat="1" x14ac:dyDescent="0.25">
      <c r="A34" s="90">
        <v>28</v>
      </c>
      <c r="B34" s="104" t="s">
        <v>132</v>
      </c>
      <c r="C34" s="92" t="s">
        <v>177</v>
      </c>
      <c r="D34" s="92" t="s">
        <v>188</v>
      </c>
      <c r="E34" s="92" t="s">
        <v>44</v>
      </c>
      <c r="F34" s="92" t="s">
        <v>304</v>
      </c>
      <c r="G34" s="122">
        <v>235000</v>
      </c>
      <c r="H34" s="100">
        <v>235000</v>
      </c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95" cm="1">
        <f t="array" ref="T34">SUM(G34:S34/2)</f>
        <v>235000</v>
      </c>
      <c r="U34" s="98">
        <v>0</v>
      </c>
      <c r="V34" s="99">
        <f t="shared" si="0"/>
        <v>235000</v>
      </c>
      <c r="W34" s="100"/>
      <c r="X34" s="98"/>
      <c r="Y34" s="101"/>
    </row>
    <row r="35" spans="1:25" s="26" customFormat="1" x14ac:dyDescent="0.25">
      <c r="A35" s="90">
        <v>29</v>
      </c>
      <c r="B35" s="104" t="s">
        <v>211</v>
      </c>
      <c r="C35" s="92" t="s">
        <v>177</v>
      </c>
      <c r="D35" s="92" t="s">
        <v>188</v>
      </c>
      <c r="E35" s="92" t="s">
        <v>44</v>
      </c>
      <c r="F35" s="92" t="s">
        <v>304</v>
      </c>
      <c r="G35" s="122">
        <v>290000</v>
      </c>
      <c r="H35" s="100">
        <v>290000</v>
      </c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95" cm="1">
        <f t="array" ref="T35">SUM(G35:S35/2)</f>
        <v>290000</v>
      </c>
      <c r="U35" s="98">
        <v>0</v>
      </c>
      <c r="V35" s="99">
        <f t="shared" si="0"/>
        <v>290000</v>
      </c>
      <c r="W35" s="100"/>
      <c r="X35" s="98"/>
      <c r="Y35" s="101"/>
    </row>
    <row r="36" spans="1:25" s="26" customFormat="1" x14ac:dyDescent="0.25">
      <c r="A36" s="90">
        <v>30</v>
      </c>
      <c r="B36" s="104" t="s">
        <v>212</v>
      </c>
      <c r="C36" s="92" t="s">
        <v>177</v>
      </c>
      <c r="D36" s="92" t="s">
        <v>188</v>
      </c>
      <c r="E36" s="92" t="s">
        <v>44</v>
      </c>
      <c r="F36" s="92" t="s">
        <v>304</v>
      </c>
      <c r="G36" s="122">
        <v>350000</v>
      </c>
      <c r="H36" s="100">
        <v>350000</v>
      </c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95" cm="1">
        <f t="array" ref="T36">SUM(G36:S36/2)</f>
        <v>350000</v>
      </c>
      <c r="U36" s="98">
        <v>0</v>
      </c>
      <c r="V36" s="99">
        <f t="shared" si="0"/>
        <v>350000</v>
      </c>
      <c r="W36" s="100"/>
      <c r="X36" s="98"/>
      <c r="Y36" s="101"/>
    </row>
    <row r="37" spans="1:25" s="26" customFormat="1" x14ac:dyDescent="0.25">
      <c r="A37" s="90"/>
      <c r="B37" s="104"/>
      <c r="C37" s="92"/>
      <c r="D37" s="92"/>
      <c r="E37" s="92"/>
      <c r="F37" s="92"/>
      <c r="G37" s="122"/>
      <c r="H37" s="100"/>
      <c r="I37" s="100"/>
      <c r="J37" s="93"/>
      <c r="K37" s="93"/>
      <c r="L37" s="100"/>
      <c r="M37" s="100"/>
      <c r="N37" s="100"/>
      <c r="O37" s="100"/>
      <c r="P37" s="100"/>
      <c r="Q37" s="100"/>
      <c r="R37" s="100"/>
      <c r="S37" s="100"/>
      <c r="T37" s="95" cm="1">
        <f t="array" ref="T37">SUM(G37:S37/2)</f>
        <v>0</v>
      </c>
      <c r="U37" s="98"/>
      <c r="V37" s="99"/>
      <c r="W37" s="100"/>
      <c r="X37" s="98"/>
      <c r="Y37" s="101"/>
    </row>
    <row r="38" spans="1:25" s="26" customFormat="1" x14ac:dyDescent="0.25">
      <c r="A38" s="90"/>
      <c r="B38" s="104"/>
      <c r="C38" s="92"/>
      <c r="D38" s="92"/>
      <c r="E38" s="92"/>
      <c r="F38" s="92"/>
      <c r="G38" s="122"/>
      <c r="H38" s="100"/>
      <c r="I38" s="100"/>
      <c r="J38" s="93"/>
      <c r="K38" s="93"/>
      <c r="L38" s="100"/>
      <c r="M38" s="100"/>
      <c r="N38" s="100"/>
      <c r="O38" s="100"/>
      <c r="P38" s="100"/>
      <c r="Q38" s="100"/>
      <c r="R38" s="100"/>
      <c r="S38" s="100"/>
      <c r="T38" s="95" cm="1">
        <f t="array" ref="T38">SUM(G38:S38/2)</f>
        <v>0</v>
      </c>
      <c r="U38" s="98"/>
      <c r="V38" s="99"/>
      <c r="W38" s="100"/>
      <c r="X38" s="98"/>
      <c r="Y38" s="101"/>
    </row>
    <row r="39" spans="1:25" s="26" customFormat="1" x14ac:dyDescent="0.25">
      <c r="A39" s="90"/>
      <c r="B39" s="105" t="s">
        <v>230</v>
      </c>
      <c r="C39" s="92"/>
      <c r="D39" s="92"/>
      <c r="E39" s="92"/>
      <c r="F39" s="92"/>
      <c r="G39" s="122"/>
      <c r="H39" s="100"/>
      <c r="I39" s="100"/>
      <c r="J39" s="93"/>
      <c r="K39" s="93"/>
      <c r="L39" s="100"/>
      <c r="M39" s="100"/>
      <c r="N39" s="100"/>
      <c r="O39" s="100"/>
      <c r="P39" s="100"/>
      <c r="Q39" s="100"/>
      <c r="R39" s="100"/>
      <c r="S39" s="100"/>
      <c r="T39" s="95" cm="1">
        <f t="array" ref="T39">SUM(G39:S39/2)</f>
        <v>0</v>
      </c>
      <c r="U39" s="98"/>
      <c r="V39" s="99">
        <f t="shared" si="0"/>
        <v>0</v>
      </c>
      <c r="W39" s="100"/>
      <c r="X39" s="98"/>
      <c r="Y39" s="101"/>
    </row>
    <row r="40" spans="1:25" s="26" customFormat="1" x14ac:dyDescent="0.25">
      <c r="A40" s="90">
        <v>1</v>
      </c>
      <c r="B40" s="104" t="s">
        <v>12</v>
      </c>
      <c r="C40" s="92" t="s">
        <v>191</v>
      </c>
      <c r="D40" s="92" t="s">
        <v>188</v>
      </c>
      <c r="E40" s="92" t="s">
        <v>44</v>
      </c>
      <c r="F40" s="92" t="s">
        <v>304</v>
      </c>
      <c r="G40" s="122">
        <v>183645</v>
      </c>
      <c r="H40" s="100">
        <v>183645</v>
      </c>
      <c r="I40" s="100"/>
      <c r="J40" s="93"/>
      <c r="K40" s="93"/>
      <c r="L40" s="93"/>
      <c r="M40" s="93"/>
      <c r="N40" s="93"/>
      <c r="O40" s="93"/>
      <c r="P40" s="93"/>
      <c r="Q40" s="93"/>
      <c r="R40" s="100"/>
      <c r="S40" s="100"/>
      <c r="T40" s="95" cm="1">
        <f t="array" ref="T40">SUM(G40:S40/2)</f>
        <v>183645</v>
      </c>
      <c r="U40" s="98"/>
      <c r="V40" s="99">
        <f t="shared" si="0"/>
        <v>183645</v>
      </c>
      <c r="W40" s="100"/>
      <c r="X40" s="98"/>
      <c r="Y40" s="101"/>
    </row>
    <row r="41" spans="1:25" s="26" customFormat="1" x14ac:dyDescent="0.25">
      <c r="A41" s="90">
        <v>2</v>
      </c>
      <c r="B41" s="104" t="s">
        <v>13</v>
      </c>
      <c r="C41" s="92" t="s">
        <v>191</v>
      </c>
      <c r="D41" s="92" t="s">
        <v>188</v>
      </c>
      <c r="E41" s="92" t="s">
        <v>44</v>
      </c>
      <c r="F41" s="92" t="s">
        <v>304</v>
      </c>
      <c r="G41" s="122">
        <v>183645</v>
      </c>
      <c r="H41" s="100">
        <v>183645</v>
      </c>
      <c r="I41" s="100"/>
      <c r="J41" s="100"/>
      <c r="K41" s="93"/>
      <c r="L41" s="93"/>
      <c r="M41" s="93"/>
      <c r="N41" s="93"/>
      <c r="O41" s="93"/>
      <c r="P41" s="93"/>
      <c r="Q41" s="93"/>
      <c r="R41" s="100"/>
      <c r="S41" s="100"/>
      <c r="T41" s="95" cm="1">
        <f t="array" ref="T41">SUM(G41:S41/2)</f>
        <v>183645</v>
      </c>
      <c r="U41" s="98"/>
      <c r="V41" s="99">
        <f t="shared" si="0"/>
        <v>183645</v>
      </c>
      <c r="W41" s="100"/>
      <c r="X41" s="98"/>
      <c r="Y41" s="101"/>
    </row>
    <row r="42" spans="1:25" s="26" customFormat="1" x14ac:dyDescent="0.25">
      <c r="A42" s="90">
        <v>4</v>
      </c>
      <c r="B42" s="104" t="s">
        <v>14</v>
      </c>
      <c r="C42" s="92" t="s">
        <v>191</v>
      </c>
      <c r="D42" s="92" t="s">
        <v>188</v>
      </c>
      <c r="E42" s="92" t="s">
        <v>44</v>
      </c>
      <c r="F42" s="92" t="s">
        <v>304</v>
      </c>
      <c r="G42" s="122">
        <v>148500</v>
      </c>
      <c r="H42" s="100">
        <v>148500</v>
      </c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95" cm="1">
        <f t="array" ref="T42">SUM(G42:S42/2)</f>
        <v>148500</v>
      </c>
      <c r="U42" s="98"/>
      <c r="V42" s="99">
        <f t="shared" si="0"/>
        <v>148500</v>
      </c>
      <c r="W42" s="100"/>
      <c r="X42" s="98"/>
      <c r="Y42" s="101"/>
    </row>
    <row r="43" spans="1:25" s="26" customFormat="1" x14ac:dyDescent="0.25">
      <c r="A43" s="90">
        <v>5</v>
      </c>
      <c r="B43" s="104" t="s">
        <v>401</v>
      </c>
      <c r="C43" s="92"/>
      <c r="D43" s="92"/>
      <c r="E43" s="92"/>
      <c r="F43" s="92"/>
      <c r="G43" s="122">
        <v>195030</v>
      </c>
      <c r="H43" s="100">
        <v>195030</v>
      </c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95" cm="1">
        <f t="array" ref="T43">SUM(G43:S43/2)</f>
        <v>195030</v>
      </c>
      <c r="U43" s="98"/>
      <c r="V43" s="99">
        <f t="shared" si="0"/>
        <v>195030</v>
      </c>
      <c r="W43" s="100"/>
      <c r="X43" s="98"/>
      <c r="Y43" s="101"/>
    </row>
    <row r="44" spans="1:25" s="26" customFormat="1" x14ac:dyDescent="0.25">
      <c r="A44" s="90">
        <v>6</v>
      </c>
      <c r="B44" s="104" t="s">
        <v>15</v>
      </c>
      <c r="C44" s="92" t="s">
        <v>191</v>
      </c>
      <c r="D44" s="92" t="s">
        <v>188</v>
      </c>
      <c r="E44" s="92" t="s">
        <v>44</v>
      </c>
      <c r="F44" s="92" t="s">
        <v>304</v>
      </c>
      <c r="G44" s="122">
        <v>148500</v>
      </c>
      <c r="H44" s="100">
        <v>148500</v>
      </c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95" cm="1">
        <f t="array" ref="T44">SUM(G44:S44/2)</f>
        <v>148500</v>
      </c>
      <c r="U44" s="98"/>
      <c r="V44" s="99">
        <f t="shared" si="0"/>
        <v>148500</v>
      </c>
      <c r="W44" s="100"/>
      <c r="X44" s="98"/>
      <c r="Y44" s="101"/>
    </row>
    <row r="45" spans="1:25" s="26" customFormat="1" x14ac:dyDescent="0.25">
      <c r="A45" s="90">
        <v>7</v>
      </c>
      <c r="B45" s="104" t="s">
        <v>16</v>
      </c>
      <c r="C45" s="92" t="s">
        <v>191</v>
      </c>
      <c r="D45" s="92" t="s">
        <v>188</v>
      </c>
      <c r="E45" s="92" t="s">
        <v>44</v>
      </c>
      <c r="F45" s="92" t="s">
        <v>304</v>
      </c>
      <c r="G45" s="122">
        <v>122760</v>
      </c>
      <c r="H45" s="100">
        <v>122760</v>
      </c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95" cm="1">
        <f t="array" ref="T45">SUM(G45:S45/2)</f>
        <v>122760</v>
      </c>
      <c r="U45" s="98"/>
      <c r="V45" s="99">
        <f t="shared" si="0"/>
        <v>122760</v>
      </c>
      <c r="W45" s="100"/>
      <c r="X45" s="98"/>
      <c r="Y45" s="101"/>
    </row>
    <row r="46" spans="1:25" s="26" customFormat="1" x14ac:dyDescent="0.25">
      <c r="A46" s="90">
        <v>8</v>
      </c>
      <c r="B46" s="104" t="s">
        <v>111</v>
      </c>
      <c r="C46" s="92" t="s">
        <v>191</v>
      </c>
      <c r="D46" s="92" t="s">
        <v>188</v>
      </c>
      <c r="E46" s="92" t="s">
        <v>44</v>
      </c>
      <c r="F46" s="92" t="s">
        <v>304</v>
      </c>
      <c r="G46" s="122">
        <v>148500</v>
      </c>
      <c r="H46" s="100">
        <v>148500</v>
      </c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95" cm="1">
        <f t="array" ref="T46">SUM(G46:S46/2)</f>
        <v>148500</v>
      </c>
      <c r="U46" s="98"/>
      <c r="V46" s="99">
        <f t="shared" si="0"/>
        <v>148500</v>
      </c>
      <c r="W46" s="100"/>
      <c r="X46" s="98"/>
      <c r="Y46" s="101"/>
    </row>
    <row r="47" spans="1:25" s="26" customFormat="1" x14ac:dyDescent="0.25">
      <c r="A47" s="90">
        <v>9</v>
      </c>
      <c r="B47" s="104" t="s">
        <v>217</v>
      </c>
      <c r="C47" s="92" t="s">
        <v>191</v>
      </c>
      <c r="D47" s="92" t="s">
        <v>188</v>
      </c>
      <c r="E47" s="92"/>
      <c r="F47" s="92" t="s">
        <v>304</v>
      </c>
      <c r="G47" s="122">
        <v>148500</v>
      </c>
      <c r="H47" s="100">
        <v>148500</v>
      </c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95" cm="1">
        <f t="array" ref="T47">SUM(G47:S47/2)</f>
        <v>148500</v>
      </c>
      <c r="U47" s="98"/>
      <c r="V47" s="99">
        <f t="shared" si="0"/>
        <v>148500</v>
      </c>
      <c r="W47" s="100"/>
      <c r="X47" s="98"/>
      <c r="Y47" s="101"/>
    </row>
    <row r="48" spans="1:25" s="26" customFormat="1" x14ac:dyDescent="0.25">
      <c r="A48" s="90">
        <v>10</v>
      </c>
      <c r="B48" s="104" t="s">
        <v>214</v>
      </c>
      <c r="C48" s="92" t="s">
        <v>191</v>
      </c>
      <c r="D48" s="92" t="s">
        <v>188</v>
      </c>
      <c r="E48" s="92" t="s">
        <v>44</v>
      </c>
      <c r="F48" s="92" t="s">
        <v>304</v>
      </c>
      <c r="G48" s="122">
        <v>148500</v>
      </c>
      <c r="H48" s="100">
        <v>148500</v>
      </c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95" cm="1">
        <f t="array" ref="T48">SUM(G48:S48/2)</f>
        <v>148500</v>
      </c>
      <c r="U48" s="98"/>
      <c r="V48" s="99">
        <f t="shared" si="0"/>
        <v>148500</v>
      </c>
      <c r="W48" s="100"/>
      <c r="X48" s="98"/>
      <c r="Y48" s="101"/>
    </row>
    <row r="49" spans="1:25" s="26" customFormat="1" x14ac:dyDescent="0.25">
      <c r="A49" s="90">
        <v>11</v>
      </c>
      <c r="B49" s="104" t="s">
        <v>214</v>
      </c>
      <c r="C49" s="92" t="s">
        <v>192</v>
      </c>
      <c r="D49" s="92" t="s">
        <v>188</v>
      </c>
      <c r="E49" s="92"/>
      <c r="F49" s="92" t="s">
        <v>304</v>
      </c>
      <c r="G49" s="122">
        <v>148500</v>
      </c>
      <c r="H49" s="100">
        <v>148500</v>
      </c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95" cm="1">
        <f t="array" ref="T49">SUM(G49:S49/2)</f>
        <v>148500</v>
      </c>
      <c r="U49" s="98"/>
      <c r="V49" s="99">
        <f t="shared" si="0"/>
        <v>148500</v>
      </c>
      <c r="W49" s="100"/>
      <c r="X49" s="98"/>
      <c r="Y49" s="101"/>
    </row>
    <row r="50" spans="1:25" s="26" customFormat="1" x14ac:dyDescent="0.25">
      <c r="A50" s="90">
        <v>12</v>
      </c>
      <c r="B50" s="104" t="s">
        <v>399</v>
      </c>
      <c r="C50" s="92" t="s">
        <v>191</v>
      </c>
      <c r="D50" s="92" t="s">
        <v>188</v>
      </c>
      <c r="E50" s="92"/>
      <c r="F50" s="92" t="s">
        <v>304</v>
      </c>
      <c r="G50" s="122">
        <v>148500</v>
      </c>
      <c r="H50" s="100">
        <v>148500</v>
      </c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95" cm="1">
        <f t="array" ref="T50">SUM(G50:S50/2)</f>
        <v>148500</v>
      </c>
      <c r="U50" s="98"/>
      <c r="V50" s="99">
        <f t="shared" si="0"/>
        <v>148500</v>
      </c>
      <c r="W50" s="100"/>
      <c r="X50" s="98"/>
      <c r="Y50" s="101"/>
    </row>
    <row r="51" spans="1:25" s="26" customFormat="1" x14ac:dyDescent="0.25">
      <c r="A51" s="90">
        <v>13</v>
      </c>
      <c r="B51" s="104" t="s">
        <v>112</v>
      </c>
      <c r="C51" s="92" t="s">
        <v>191</v>
      </c>
      <c r="D51" s="92" t="s">
        <v>188</v>
      </c>
      <c r="E51" s="92" t="s">
        <v>44</v>
      </c>
      <c r="F51" s="92" t="s">
        <v>304</v>
      </c>
      <c r="G51" s="122">
        <v>148500</v>
      </c>
      <c r="H51" s="100">
        <v>148500</v>
      </c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95" cm="1">
        <f t="array" ref="T51">SUM(G51:S51/2)</f>
        <v>148500</v>
      </c>
      <c r="U51" s="98"/>
      <c r="V51" s="99">
        <f t="shared" si="0"/>
        <v>148500</v>
      </c>
      <c r="W51" s="100"/>
      <c r="X51" s="98"/>
      <c r="Y51" s="101"/>
    </row>
    <row r="52" spans="1:25" s="26" customFormat="1" x14ac:dyDescent="0.25">
      <c r="A52" s="90">
        <v>14</v>
      </c>
      <c r="B52" s="104" t="s">
        <v>193</v>
      </c>
      <c r="C52" s="92" t="s">
        <v>191</v>
      </c>
      <c r="D52" s="92" t="s">
        <v>188</v>
      </c>
      <c r="E52" s="92" t="s">
        <v>44</v>
      </c>
      <c r="F52" s="92" t="s">
        <v>304</v>
      </c>
      <c r="G52" s="122">
        <v>148500</v>
      </c>
      <c r="H52" s="100">
        <v>148500</v>
      </c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95" cm="1">
        <f t="array" ref="T52">SUM(G52:S52/2)</f>
        <v>148500</v>
      </c>
      <c r="U52" s="98"/>
      <c r="V52" s="99">
        <f t="shared" si="0"/>
        <v>148500</v>
      </c>
      <c r="W52" s="100"/>
      <c r="X52" s="98"/>
      <c r="Y52" s="101"/>
    </row>
    <row r="53" spans="1:25" s="26" customFormat="1" x14ac:dyDescent="0.25">
      <c r="A53" s="90">
        <v>15</v>
      </c>
      <c r="B53" s="104" t="s">
        <v>126</v>
      </c>
      <c r="C53" s="92" t="s">
        <v>191</v>
      </c>
      <c r="D53" s="92" t="s">
        <v>188</v>
      </c>
      <c r="E53" s="92" t="s">
        <v>44</v>
      </c>
      <c r="F53" s="92" t="s">
        <v>304</v>
      </c>
      <c r="G53" s="122">
        <v>148500</v>
      </c>
      <c r="H53" s="100">
        <v>148500</v>
      </c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95" cm="1">
        <f t="array" ref="T53">SUM(G53:S53/2)</f>
        <v>148500</v>
      </c>
      <c r="U53" s="98"/>
      <c r="V53" s="99">
        <f t="shared" si="0"/>
        <v>148500</v>
      </c>
      <c r="W53" s="100"/>
      <c r="X53" s="98"/>
      <c r="Y53" s="101"/>
    </row>
    <row r="54" spans="1:25" s="26" customFormat="1" x14ac:dyDescent="0.25">
      <c r="A54" s="90">
        <v>16</v>
      </c>
      <c r="B54" s="104" t="s">
        <v>194</v>
      </c>
      <c r="C54" s="92" t="s">
        <v>191</v>
      </c>
      <c r="D54" s="92" t="s">
        <v>188</v>
      </c>
      <c r="E54" s="92" t="s">
        <v>44</v>
      </c>
      <c r="F54" s="92" t="s">
        <v>304</v>
      </c>
      <c r="G54" s="122">
        <v>214335</v>
      </c>
      <c r="H54" s="100">
        <v>214335</v>
      </c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95" cm="1">
        <f t="array" ref="T54">SUM(G54:S54/2)</f>
        <v>214335</v>
      </c>
      <c r="U54" s="98"/>
      <c r="V54" s="99">
        <f t="shared" si="0"/>
        <v>214335</v>
      </c>
      <c r="W54" s="100"/>
      <c r="X54" s="98"/>
      <c r="Y54" s="101"/>
    </row>
    <row r="55" spans="1:25" s="26" customFormat="1" x14ac:dyDescent="0.25">
      <c r="A55" s="90">
        <v>17</v>
      </c>
      <c r="B55" s="104" t="s">
        <v>195</v>
      </c>
      <c r="C55" s="92" t="s">
        <v>192</v>
      </c>
      <c r="D55" s="92" t="s">
        <v>188</v>
      </c>
      <c r="E55" s="92" t="s">
        <v>44</v>
      </c>
      <c r="F55" s="92" t="s">
        <v>304</v>
      </c>
      <c r="G55" s="122">
        <v>214335</v>
      </c>
      <c r="H55" s="100">
        <v>214335</v>
      </c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95" cm="1">
        <f t="array" ref="T55">SUM(G55:S55/2)</f>
        <v>214335</v>
      </c>
      <c r="U55" s="98"/>
      <c r="V55" s="99">
        <f t="shared" si="0"/>
        <v>214335</v>
      </c>
      <c r="W55" s="100"/>
      <c r="X55" s="98"/>
      <c r="Y55" s="101"/>
    </row>
    <row r="56" spans="1:25" s="26" customFormat="1" x14ac:dyDescent="0.25">
      <c r="A56" s="90">
        <v>18</v>
      </c>
      <c r="B56" s="104" t="s">
        <v>8</v>
      </c>
      <c r="C56" s="92" t="s">
        <v>191</v>
      </c>
      <c r="D56" s="92" t="s">
        <v>188</v>
      </c>
      <c r="E56" s="92" t="s">
        <v>44</v>
      </c>
      <c r="F56" s="92" t="s">
        <v>304</v>
      </c>
      <c r="G56" s="122">
        <v>195030</v>
      </c>
      <c r="H56" s="100">
        <v>195030</v>
      </c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95" cm="1">
        <f t="array" ref="T56">SUM(G56:S56/2)</f>
        <v>195030</v>
      </c>
      <c r="U56" s="98"/>
      <c r="V56" s="99">
        <f t="shared" si="0"/>
        <v>195030</v>
      </c>
      <c r="W56" s="100"/>
      <c r="X56" s="98"/>
      <c r="Y56" s="101"/>
    </row>
    <row r="57" spans="1:25" s="26" customFormat="1" x14ac:dyDescent="0.25">
      <c r="A57" s="90">
        <v>19</v>
      </c>
      <c r="B57" s="104" t="s">
        <v>11</v>
      </c>
      <c r="C57" s="92" t="s">
        <v>191</v>
      </c>
      <c r="D57" s="92" t="s">
        <v>188</v>
      </c>
      <c r="E57" s="92" t="s">
        <v>44</v>
      </c>
      <c r="F57" s="92" t="s">
        <v>304</v>
      </c>
      <c r="G57" s="122">
        <v>195030</v>
      </c>
      <c r="H57" s="100">
        <v>195030</v>
      </c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95" cm="1">
        <f t="array" ref="T57">SUM(G57:S57/2)</f>
        <v>195030</v>
      </c>
      <c r="U57" s="98"/>
      <c r="V57" s="99">
        <f t="shared" si="0"/>
        <v>195030</v>
      </c>
      <c r="W57" s="100"/>
      <c r="X57" s="98"/>
      <c r="Y57" s="101"/>
    </row>
    <row r="58" spans="1:25" s="26" customFormat="1" x14ac:dyDescent="0.25">
      <c r="A58" s="90">
        <v>20</v>
      </c>
      <c r="B58" s="104" t="s">
        <v>10</v>
      </c>
      <c r="C58" s="92" t="s">
        <v>191</v>
      </c>
      <c r="D58" s="92" t="s">
        <v>188</v>
      </c>
      <c r="E58" s="92" t="s">
        <v>44</v>
      </c>
      <c r="F58" s="92" t="s">
        <v>304</v>
      </c>
      <c r="G58" s="122">
        <v>195030</v>
      </c>
      <c r="H58" s="100">
        <v>195030</v>
      </c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95" cm="1">
        <f t="array" ref="T58">SUM(G58:S58/2)</f>
        <v>195030</v>
      </c>
      <c r="U58" s="98"/>
      <c r="V58" s="99">
        <f t="shared" si="0"/>
        <v>195030</v>
      </c>
      <c r="W58" s="100"/>
      <c r="X58" s="98"/>
      <c r="Y58" s="101"/>
    </row>
    <row r="59" spans="1:25" s="26" customFormat="1" x14ac:dyDescent="0.25">
      <c r="A59" s="90">
        <v>21</v>
      </c>
      <c r="B59" s="104" t="s">
        <v>9</v>
      </c>
      <c r="C59" s="92" t="s">
        <v>191</v>
      </c>
      <c r="D59" s="92" t="s">
        <v>188</v>
      </c>
      <c r="E59" s="92" t="s">
        <v>44</v>
      </c>
      <c r="F59" s="92" t="s">
        <v>304</v>
      </c>
      <c r="G59" s="122">
        <v>213840</v>
      </c>
      <c r="H59" s="100">
        <v>213840</v>
      </c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95" cm="1">
        <f t="array" ref="T59">SUM(G59:S59/2)</f>
        <v>213840</v>
      </c>
      <c r="U59" s="98"/>
      <c r="V59" s="99">
        <f t="shared" si="0"/>
        <v>213840</v>
      </c>
      <c r="W59" s="100"/>
      <c r="X59" s="98"/>
      <c r="Y59" s="101"/>
    </row>
    <row r="60" spans="1:25" s="26" customFormat="1" x14ac:dyDescent="0.25">
      <c r="A60" s="90">
        <v>22</v>
      </c>
      <c r="B60" s="104" t="s">
        <v>213</v>
      </c>
      <c r="C60" s="92" t="s">
        <v>191</v>
      </c>
      <c r="D60" s="92" t="s">
        <v>188</v>
      </c>
      <c r="E60" s="92" t="s">
        <v>44</v>
      </c>
      <c r="F60" s="92" t="s">
        <v>304</v>
      </c>
      <c r="G60" s="122">
        <v>195030</v>
      </c>
      <c r="H60" s="100">
        <v>195030</v>
      </c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95" cm="1">
        <f t="array" ref="T60">SUM(G60:S60/2)</f>
        <v>195030</v>
      </c>
      <c r="U60" s="98"/>
      <c r="V60" s="99">
        <f t="shared" si="0"/>
        <v>195030</v>
      </c>
      <c r="W60" s="100"/>
      <c r="X60" s="98"/>
      <c r="Y60" s="101"/>
    </row>
    <row r="61" spans="1:25" s="26" customFormat="1" x14ac:dyDescent="0.25">
      <c r="A61" s="90">
        <v>23</v>
      </c>
      <c r="B61" s="104" t="s">
        <v>127</v>
      </c>
      <c r="C61" s="92" t="s">
        <v>191</v>
      </c>
      <c r="D61" s="92" t="s">
        <v>188</v>
      </c>
      <c r="E61" s="92" t="s">
        <v>44</v>
      </c>
      <c r="F61" s="92" t="s">
        <v>304</v>
      </c>
      <c r="G61" s="122">
        <v>296010</v>
      </c>
      <c r="H61" s="100">
        <v>296010</v>
      </c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95" cm="1">
        <f t="array" ref="T61">SUM(G61:S61/2)</f>
        <v>296010</v>
      </c>
      <c r="U61" s="98"/>
      <c r="V61" s="99">
        <f t="shared" si="0"/>
        <v>296010</v>
      </c>
      <c r="W61" s="100"/>
      <c r="X61" s="98"/>
      <c r="Y61" s="101"/>
    </row>
    <row r="62" spans="1:25" s="26" customFormat="1" x14ac:dyDescent="0.25">
      <c r="A62" s="90">
        <v>24</v>
      </c>
      <c r="B62" s="104" t="s">
        <v>141</v>
      </c>
      <c r="C62" s="92" t="s">
        <v>191</v>
      </c>
      <c r="D62" s="92" t="s">
        <v>188</v>
      </c>
      <c r="E62" s="92" t="s">
        <v>44</v>
      </c>
      <c r="F62" s="92" t="s">
        <v>304</v>
      </c>
      <c r="G62" s="122">
        <v>296010</v>
      </c>
      <c r="H62" s="100">
        <v>296010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95" cm="1">
        <f t="array" ref="T62">SUM(G62:S62/2)</f>
        <v>296010</v>
      </c>
      <c r="U62" s="98"/>
      <c r="V62" s="99">
        <f t="shared" si="0"/>
        <v>296010</v>
      </c>
      <c r="W62" s="100"/>
      <c r="X62" s="98"/>
      <c r="Y62" s="101"/>
    </row>
    <row r="63" spans="1:25" s="26" customFormat="1" x14ac:dyDescent="0.25">
      <c r="A63" s="90">
        <v>25</v>
      </c>
      <c r="B63" s="104" t="s">
        <v>152</v>
      </c>
      <c r="C63" s="92" t="s">
        <v>191</v>
      </c>
      <c r="D63" s="92" t="s">
        <v>188</v>
      </c>
      <c r="E63" s="92" t="s">
        <v>44</v>
      </c>
      <c r="F63" s="92" t="s">
        <v>304</v>
      </c>
      <c r="G63" s="122">
        <v>214335</v>
      </c>
      <c r="H63" s="100">
        <v>214335</v>
      </c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95" cm="1">
        <f t="array" ref="T63">SUM(G63:S63/2)</f>
        <v>214335</v>
      </c>
      <c r="U63" s="98"/>
      <c r="V63" s="99">
        <f t="shared" si="0"/>
        <v>214335</v>
      </c>
      <c r="W63" s="100"/>
      <c r="X63" s="98"/>
      <c r="Y63" s="101"/>
    </row>
    <row r="64" spans="1:25" s="26" customFormat="1" x14ac:dyDescent="0.25">
      <c r="A64" s="90">
        <v>26</v>
      </c>
      <c r="B64" s="104" t="s">
        <v>152</v>
      </c>
      <c r="C64" s="92" t="s">
        <v>192</v>
      </c>
      <c r="D64" s="92" t="s">
        <v>188</v>
      </c>
      <c r="E64" s="92"/>
      <c r="F64" s="92" t="s">
        <v>304</v>
      </c>
      <c r="G64" s="122">
        <v>296010</v>
      </c>
      <c r="H64" s="100">
        <v>296010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95" cm="1">
        <f t="array" ref="T64">SUM(G64:S64/2)</f>
        <v>296010</v>
      </c>
      <c r="U64" s="98"/>
      <c r="V64" s="99">
        <f t="shared" si="0"/>
        <v>296010</v>
      </c>
      <c r="W64" s="100"/>
      <c r="X64" s="98"/>
      <c r="Y64" s="101"/>
    </row>
    <row r="65" spans="1:25" s="26" customFormat="1" x14ac:dyDescent="0.25">
      <c r="A65" s="90">
        <v>27</v>
      </c>
      <c r="B65" s="104" t="s">
        <v>156</v>
      </c>
      <c r="C65" s="92" t="s">
        <v>191</v>
      </c>
      <c r="D65" s="92" t="s">
        <v>188</v>
      </c>
      <c r="E65" s="92" t="s">
        <v>44</v>
      </c>
      <c r="F65" s="92" t="s">
        <v>304</v>
      </c>
      <c r="G65" s="122">
        <v>148500</v>
      </c>
      <c r="H65" s="100">
        <v>148500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95" cm="1">
        <f t="array" ref="T65">SUM(G65:S65/2)</f>
        <v>148500</v>
      </c>
      <c r="U65" s="98"/>
      <c r="V65" s="99">
        <f t="shared" si="0"/>
        <v>148500</v>
      </c>
      <c r="W65" s="100"/>
      <c r="X65" s="98"/>
      <c r="Y65" s="101"/>
    </row>
    <row r="66" spans="1:25" s="26" customFormat="1" x14ac:dyDescent="0.25">
      <c r="A66" s="90">
        <v>28</v>
      </c>
      <c r="B66" s="104" t="s">
        <v>404</v>
      </c>
      <c r="C66" s="92" t="s">
        <v>191</v>
      </c>
      <c r="D66" s="92" t="s">
        <v>188</v>
      </c>
      <c r="E66" s="92"/>
      <c r="F66" s="92" t="s">
        <v>304</v>
      </c>
      <c r="G66" s="122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95" cm="1">
        <f t="array" ref="T66">SUM(G66:S66/2)</f>
        <v>0</v>
      </c>
      <c r="U66" s="98"/>
      <c r="V66" s="99"/>
      <c r="W66" s="100"/>
      <c r="X66" s="98"/>
      <c r="Y66" s="101"/>
    </row>
    <row r="67" spans="1:25" s="26" customFormat="1" x14ac:dyDescent="0.25">
      <c r="A67" s="90">
        <v>29</v>
      </c>
      <c r="B67" s="104" t="s">
        <v>414</v>
      </c>
      <c r="C67" s="92" t="s">
        <v>191</v>
      </c>
      <c r="D67" s="92" t="s">
        <v>188</v>
      </c>
      <c r="E67" s="92"/>
      <c r="F67" s="92" t="s">
        <v>304</v>
      </c>
      <c r="G67" s="122">
        <v>195030</v>
      </c>
      <c r="H67" s="100">
        <v>195030</v>
      </c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95" cm="1">
        <f t="array" ref="T67">SUM(G67:S67/2)</f>
        <v>195030</v>
      </c>
      <c r="U67" s="98"/>
      <c r="V67" s="99"/>
      <c r="W67" s="100"/>
      <c r="X67" s="98"/>
      <c r="Y67" s="101"/>
    </row>
    <row r="68" spans="1:25" s="26" customFormat="1" x14ac:dyDescent="0.25">
      <c r="A68" s="90"/>
      <c r="B68" s="104"/>
      <c r="C68" s="92"/>
      <c r="D68" s="92"/>
      <c r="E68" s="92"/>
      <c r="F68" s="92"/>
      <c r="G68" s="122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95" cm="1">
        <f t="array" ref="T68">SUM(G68:S68/2)</f>
        <v>0</v>
      </c>
      <c r="U68" s="98"/>
      <c r="V68" s="99"/>
      <c r="W68" s="100"/>
      <c r="X68" s="98"/>
      <c r="Y68" s="101"/>
    </row>
    <row r="69" spans="1:25" s="26" customFormat="1" x14ac:dyDescent="0.25">
      <c r="A69" s="90"/>
      <c r="B69" s="106" t="s">
        <v>231</v>
      </c>
      <c r="C69" s="92"/>
      <c r="D69" s="92"/>
      <c r="E69" s="92"/>
      <c r="F69" s="92"/>
      <c r="G69" s="122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95" cm="1">
        <f t="array" ref="T69">SUM(G69:S69/2)</f>
        <v>0</v>
      </c>
      <c r="U69" s="98"/>
      <c r="V69" s="99"/>
      <c r="W69" s="100"/>
      <c r="X69" s="98"/>
      <c r="Y69" s="101"/>
    </row>
    <row r="70" spans="1:25" s="26" customFormat="1" x14ac:dyDescent="0.25">
      <c r="A70" s="90">
        <v>1</v>
      </c>
      <c r="B70" s="104" t="s">
        <v>17</v>
      </c>
      <c r="C70" s="92" t="s">
        <v>220</v>
      </c>
      <c r="D70" s="92" t="s">
        <v>188</v>
      </c>
      <c r="E70" s="92" t="s">
        <v>44</v>
      </c>
      <c r="F70" s="92" t="s">
        <v>304</v>
      </c>
      <c r="G70" s="122">
        <v>355200</v>
      </c>
      <c r="H70" s="100">
        <v>355200</v>
      </c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95" cm="1">
        <f t="array" ref="T70">SUM(G70:S70/2)</f>
        <v>355200</v>
      </c>
      <c r="U70" s="98">
        <v>5000</v>
      </c>
      <c r="V70" s="99">
        <f t="shared" si="0"/>
        <v>360200</v>
      </c>
      <c r="W70" s="100"/>
      <c r="X70" s="98"/>
      <c r="Y70" s="101"/>
    </row>
    <row r="71" spans="1:25" s="26" customFormat="1" x14ac:dyDescent="0.25">
      <c r="A71" s="90">
        <v>2</v>
      </c>
      <c r="B71" s="104" t="s">
        <v>17</v>
      </c>
      <c r="C71" s="92" t="s">
        <v>405</v>
      </c>
      <c r="D71" s="92" t="s">
        <v>188</v>
      </c>
      <c r="E71" s="92"/>
      <c r="F71" s="92" t="s">
        <v>304</v>
      </c>
      <c r="G71" s="122">
        <v>332168</v>
      </c>
      <c r="H71" s="100">
        <v>332168</v>
      </c>
      <c r="I71" s="100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5" cm="1">
        <f t="array" ref="T71">SUM(G71:S71/2)</f>
        <v>332168</v>
      </c>
      <c r="U71" s="98">
        <v>5000</v>
      </c>
      <c r="V71" s="99">
        <f t="shared" si="0"/>
        <v>337168</v>
      </c>
      <c r="W71" s="100"/>
      <c r="X71" s="98"/>
      <c r="Y71" s="101"/>
    </row>
    <row r="72" spans="1:25" s="26" customFormat="1" x14ac:dyDescent="0.25">
      <c r="A72" s="90">
        <v>2</v>
      </c>
      <c r="B72" s="104" t="s">
        <v>18</v>
      </c>
      <c r="C72" s="92" t="s">
        <v>220</v>
      </c>
      <c r="D72" s="92" t="s">
        <v>188</v>
      </c>
      <c r="E72" s="92" t="s">
        <v>44</v>
      </c>
      <c r="F72" s="92" t="s">
        <v>304</v>
      </c>
      <c r="G72" s="122">
        <v>347952</v>
      </c>
      <c r="H72" s="100">
        <v>347952</v>
      </c>
      <c r="I72" s="100"/>
      <c r="J72" s="93"/>
      <c r="K72" s="93"/>
      <c r="L72" s="93"/>
      <c r="M72" s="93"/>
      <c r="N72" s="93"/>
      <c r="O72" s="93"/>
      <c r="P72" s="93"/>
      <c r="Q72" s="93"/>
      <c r="R72" s="93">
        <v>311000</v>
      </c>
      <c r="S72" s="100"/>
      <c r="T72" s="95" cm="1">
        <f t="array" ref="T72">SUM(G72:S72/2)</f>
        <v>503452</v>
      </c>
      <c r="U72" s="98">
        <v>5000</v>
      </c>
      <c r="V72" s="99">
        <f t="shared" si="0"/>
        <v>508452</v>
      </c>
      <c r="W72" s="100"/>
      <c r="X72" s="98"/>
      <c r="Y72" s="101"/>
    </row>
    <row r="73" spans="1:25" s="26" customFormat="1" x14ac:dyDescent="0.25">
      <c r="A73" s="90">
        <v>3</v>
      </c>
      <c r="B73" s="104" t="s">
        <v>19</v>
      </c>
      <c r="C73" s="92" t="s">
        <v>220</v>
      </c>
      <c r="D73" s="92" t="s">
        <v>188</v>
      </c>
      <c r="E73" s="92" t="s">
        <v>44</v>
      </c>
      <c r="F73" s="92" t="s">
        <v>304</v>
      </c>
      <c r="G73" s="122">
        <v>330869</v>
      </c>
      <c r="H73" s="100">
        <v>330869</v>
      </c>
      <c r="I73" s="100"/>
      <c r="J73" s="100"/>
      <c r="K73" s="100"/>
      <c r="L73" s="100"/>
      <c r="M73" s="100"/>
      <c r="N73" s="100"/>
      <c r="O73" s="100"/>
      <c r="P73" s="100"/>
      <c r="Q73" s="100"/>
      <c r="R73" s="100">
        <f t="shared" ref="R73:R74" si="1">298080*11%+298080</f>
        <v>330868.8</v>
      </c>
      <c r="S73" s="100"/>
      <c r="T73" s="95" cm="1">
        <f t="array" ref="T73">SUM(G73:S73/2)</f>
        <v>496303.4</v>
      </c>
      <c r="U73" s="98">
        <v>5000</v>
      </c>
      <c r="V73" s="99">
        <f t="shared" si="0"/>
        <v>501303.4</v>
      </c>
      <c r="W73" s="100"/>
      <c r="X73" s="98"/>
      <c r="Y73" s="101"/>
    </row>
    <row r="74" spans="1:25" s="26" customFormat="1" x14ac:dyDescent="0.25">
      <c r="A74" s="90">
        <v>4</v>
      </c>
      <c r="B74" s="104" t="s">
        <v>20</v>
      </c>
      <c r="C74" s="92" t="s">
        <v>220</v>
      </c>
      <c r="D74" s="92" t="s">
        <v>188</v>
      </c>
      <c r="E74" s="92" t="s">
        <v>44</v>
      </c>
      <c r="F74" s="92" t="s">
        <v>304</v>
      </c>
      <c r="G74" s="122">
        <v>310800</v>
      </c>
      <c r="H74" s="100">
        <v>310800</v>
      </c>
      <c r="I74" s="100"/>
      <c r="J74" s="100"/>
      <c r="K74" s="100"/>
      <c r="L74" s="100"/>
      <c r="M74" s="100"/>
      <c r="N74" s="100"/>
      <c r="O74" s="100"/>
      <c r="P74" s="100"/>
      <c r="Q74" s="100"/>
      <c r="R74" s="100">
        <f t="shared" si="1"/>
        <v>330868.8</v>
      </c>
      <c r="S74" s="100"/>
      <c r="T74" s="95" cm="1">
        <f t="array" ref="T74">SUM(G74:S74/2)</f>
        <v>476234.4</v>
      </c>
      <c r="U74" s="98">
        <v>5000</v>
      </c>
      <c r="V74" s="99">
        <f t="shared" si="0"/>
        <v>481234.4</v>
      </c>
      <c r="W74" s="100"/>
      <c r="X74" s="98"/>
      <c r="Y74" s="101"/>
    </row>
    <row r="75" spans="1:25" s="26" customFormat="1" x14ac:dyDescent="0.25">
      <c r="A75" s="90">
        <v>5</v>
      </c>
      <c r="B75" s="104" t="s">
        <v>21</v>
      </c>
      <c r="C75" s="92" t="s">
        <v>220</v>
      </c>
      <c r="D75" s="92" t="s">
        <v>188</v>
      </c>
      <c r="E75" s="92" t="s">
        <v>44</v>
      </c>
      <c r="F75" s="92" t="s">
        <v>304</v>
      </c>
      <c r="G75" s="122">
        <v>330869</v>
      </c>
      <c r="H75" s="100">
        <v>330869</v>
      </c>
      <c r="I75" s="100"/>
      <c r="J75" s="100"/>
      <c r="K75" s="100"/>
      <c r="L75" s="100"/>
      <c r="M75" s="100"/>
      <c r="N75" s="100"/>
      <c r="O75" s="100"/>
      <c r="P75" s="100"/>
      <c r="Q75" s="100"/>
      <c r="R75" s="100">
        <v>320790</v>
      </c>
      <c r="S75" s="100"/>
      <c r="T75" s="95" cm="1">
        <f t="array" ref="T75">SUM(G75:S75/2)</f>
        <v>491264</v>
      </c>
      <c r="U75" s="98">
        <v>5000</v>
      </c>
      <c r="V75" s="99">
        <f t="shared" si="0"/>
        <v>496264</v>
      </c>
      <c r="W75" s="100"/>
      <c r="X75" s="98"/>
      <c r="Y75" s="101"/>
    </row>
    <row r="76" spans="1:25" s="26" customFormat="1" x14ac:dyDescent="0.25">
      <c r="A76" s="90">
        <v>6</v>
      </c>
      <c r="B76" s="104" t="s">
        <v>221</v>
      </c>
      <c r="C76" s="92" t="s">
        <v>220</v>
      </c>
      <c r="D76" s="92" t="s">
        <v>188</v>
      </c>
      <c r="E76" s="92"/>
      <c r="F76" s="92" t="s">
        <v>304</v>
      </c>
      <c r="G76" s="122">
        <v>330869</v>
      </c>
      <c r="H76" s="100">
        <v>330869</v>
      </c>
      <c r="I76" s="100"/>
      <c r="J76" s="100"/>
      <c r="K76" s="100"/>
      <c r="L76" s="100"/>
      <c r="M76" s="100"/>
      <c r="N76" s="100"/>
      <c r="O76" s="100"/>
      <c r="P76" s="100"/>
      <c r="Q76" s="100"/>
      <c r="R76" s="100">
        <v>310800</v>
      </c>
      <c r="S76" s="100"/>
      <c r="T76" s="95" cm="1">
        <f t="array" ref="T76">SUM(G76:S76/2)</f>
        <v>486269</v>
      </c>
      <c r="U76" s="98">
        <v>5000</v>
      </c>
      <c r="V76" s="99">
        <f t="shared" si="0"/>
        <v>491269</v>
      </c>
      <c r="W76" s="100"/>
      <c r="X76" s="98"/>
      <c r="Y76" s="101"/>
    </row>
    <row r="77" spans="1:25" s="26" customFormat="1" x14ac:dyDescent="0.25">
      <c r="A77" s="90">
        <v>7</v>
      </c>
      <c r="B77" s="104" t="s">
        <v>22</v>
      </c>
      <c r="C77" s="92" t="s">
        <v>220</v>
      </c>
      <c r="D77" s="92" t="s">
        <v>188</v>
      </c>
      <c r="E77" s="92" t="s">
        <v>44</v>
      </c>
      <c r="F77" s="92" t="s">
        <v>304</v>
      </c>
      <c r="G77" s="122">
        <v>1867020</v>
      </c>
      <c r="H77" s="100">
        <v>1867020</v>
      </c>
      <c r="I77" s="100"/>
      <c r="J77" s="100"/>
      <c r="K77" s="100"/>
      <c r="L77" s="100"/>
      <c r="M77" s="100"/>
      <c r="N77" s="100"/>
      <c r="O77" s="100"/>
      <c r="P77" s="100"/>
      <c r="Q77" s="100"/>
      <c r="R77" s="100">
        <v>1867020</v>
      </c>
      <c r="S77" s="100"/>
      <c r="T77" s="95" cm="1">
        <f t="array" ref="T77">SUM(G77:S77/2)</f>
        <v>2800530</v>
      </c>
      <c r="U77" s="98">
        <v>5000</v>
      </c>
      <c r="V77" s="99">
        <f t="shared" si="0"/>
        <v>2805530</v>
      </c>
      <c r="W77" s="100"/>
      <c r="X77" s="98"/>
      <c r="Y77" s="101"/>
    </row>
    <row r="78" spans="1:25" s="26" customFormat="1" x14ac:dyDescent="0.25">
      <c r="A78" s="90">
        <v>8</v>
      </c>
      <c r="B78" s="104" t="s">
        <v>106</v>
      </c>
      <c r="C78" s="92" t="s">
        <v>220</v>
      </c>
      <c r="D78" s="92" t="s">
        <v>188</v>
      </c>
      <c r="E78" s="92"/>
      <c r="F78" s="92" t="s">
        <v>304</v>
      </c>
      <c r="G78" s="122">
        <v>281052</v>
      </c>
      <c r="H78" s="100">
        <v>281052</v>
      </c>
      <c r="I78" s="100"/>
      <c r="J78" s="93"/>
      <c r="K78" s="93"/>
      <c r="L78" s="93"/>
      <c r="M78" s="93"/>
      <c r="N78" s="93"/>
      <c r="O78" s="93"/>
      <c r="P78" s="93"/>
      <c r="Q78" s="93"/>
      <c r="R78" s="93">
        <v>281050</v>
      </c>
      <c r="S78" s="93"/>
      <c r="T78" s="95" cm="1">
        <f t="array" ref="T78">SUM(G78:S78/2)</f>
        <v>421577</v>
      </c>
      <c r="U78" s="98">
        <v>5000</v>
      </c>
      <c r="V78" s="99">
        <f t="shared" si="0"/>
        <v>426577</v>
      </c>
      <c r="W78" s="100"/>
      <c r="X78" s="98"/>
      <c r="Y78" s="101"/>
    </row>
    <row r="79" spans="1:25" s="26" customFormat="1" x14ac:dyDescent="0.25">
      <c r="A79" s="90">
        <v>9</v>
      </c>
      <c r="B79" s="104" t="s">
        <v>349</v>
      </c>
      <c r="C79" s="92" t="s">
        <v>220</v>
      </c>
      <c r="D79" s="92" t="s">
        <v>188</v>
      </c>
      <c r="E79" s="92"/>
      <c r="F79" s="92" t="s">
        <v>304</v>
      </c>
      <c r="G79" s="122"/>
      <c r="H79" s="100">
        <v>666000</v>
      </c>
      <c r="I79" s="100"/>
      <c r="J79" s="93"/>
      <c r="K79" s="93"/>
      <c r="L79" s="93"/>
      <c r="M79" s="93"/>
      <c r="N79" s="93"/>
      <c r="O79" s="93"/>
      <c r="P79" s="93"/>
      <c r="Q79" s="93"/>
      <c r="R79" s="93"/>
      <c r="S79" s="100"/>
      <c r="T79" s="95" cm="1">
        <f t="array" ref="T79">SUM(G79:S79/2)</f>
        <v>333000</v>
      </c>
      <c r="U79" s="98"/>
      <c r="V79" s="99">
        <f t="shared" si="0"/>
        <v>333000</v>
      </c>
      <c r="W79" s="100"/>
      <c r="X79" s="98"/>
      <c r="Y79" s="101"/>
    </row>
    <row r="80" spans="1:25" s="26" customFormat="1" x14ac:dyDescent="0.25">
      <c r="A80" s="90">
        <v>10</v>
      </c>
      <c r="B80" s="104" t="s">
        <v>350</v>
      </c>
      <c r="C80" s="92" t="s">
        <v>220</v>
      </c>
      <c r="D80" s="92" t="s">
        <v>188</v>
      </c>
      <c r="E80" s="92"/>
      <c r="F80" s="92" t="s">
        <v>304</v>
      </c>
      <c r="G80" s="122"/>
      <c r="H80" s="100"/>
      <c r="I80" s="100"/>
      <c r="J80" s="93"/>
      <c r="K80" s="93"/>
      <c r="L80" s="93"/>
      <c r="M80" s="93"/>
      <c r="N80" s="93"/>
      <c r="O80" s="93"/>
      <c r="P80" s="93"/>
      <c r="Q80" s="93"/>
      <c r="R80" s="93"/>
      <c r="S80" s="100"/>
      <c r="T80" s="95" cm="1">
        <f t="array" ref="T80">SUM(G80:S80/2)</f>
        <v>0</v>
      </c>
      <c r="U80" s="98"/>
      <c r="V80" s="99">
        <f t="shared" si="0"/>
        <v>0</v>
      </c>
      <c r="W80" s="100"/>
      <c r="X80" s="98"/>
      <c r="Y80" s="101"/>
    </row>
    <row r="81" spans="1:25" s="26" customFormat="1" x14ac:dyDescent="0.25">
      <c r="A81" s="90">
        <v>11</v>
      </c>
      <c r="B81" s="104" t="s">
        <v>351</v>
      </c>
      <c r="C81" s="92" t="s">
        <v>220</v>
      </c>
      <c r="D81" s="92" t="s">
        <v>188</v>
      </c>
      <c r="E81" s="92"/>
      <c r="F81" s="92" t="s">
        <v>304</v>
      </c>
      <c r="G81" s="122"/>
      <c r="H81" s="100"/>
      <c r="I81" s="100"/>
      <c r="J81" s="93"/>
      <c r="K81" s="93"/>
      <c r="L81" s="93"/>
      <c r="M81" s="93"/>
      <c r="N81" s="93"/>
      <c r="O81" s="93"/>
      <c r="P81" s="93"/>
      <c r="Q81" s="93"/>
      <c r="R81" s="93"/>
      <c r="S81" s="100"/>
      <c r="T81" s="95" cm="1">
        <f t="array" ref="T81">SUM(G81:S81/2)</f>
        <v>0</v>
      </c>
      <c r="U81" s="98"/>
      <c r="V81" s="99">
        <f t="shared" si="0"/>
        <v>0</v>
      </c>
      <c r="W81" s="100"/>
      <c r="X81" s="98"/>
      <c r="Y81" s="101"/>
    </row>
    <row r="82" spans="1:25" s="26" customFormat="1" x14ac:dyDescent="0.25">
      <c r="A82" s="90">
        <v>12</v>
      </c>
      <c r="B82" s="104" t="s">
        <v>386</v>
      </c>
      <c r="C82" s="92" t="s">
        <v>220</v>
      </c>
      <c r="D82" s="92" t="s">
        <v>188</v>
      </c>
      <c r="E82" s="92"/>
      <c r="F82" s="92" t="s">
        <v>304</v>
      </c>
      <c r="G82" s="122">
        <v>3054400</v>
      </c>
      <c r="H82" s="100">
        <v>305440</v>
      </c>
      <c r="I82" s="100"/>
      <c r="J82" s="93"/>
      <c r="K82" s="93"/>
      <c r="L82" s="93"/>
      <c r="M82" s="93"/>
      <c r="N82" s="93"/>
      <c r="O82" s="93"/>
      <c r="P82" s="93"/>
      <c r="Q82" s="93"/>
      <c r="R82" s="93"/>
      <c r="S82" s="100"/>
      <c r="T82" s="95" cm="1">
        <f t="array" ref="T82">SUM(G82:S82/2)</f>
        <v>1679920</v>
      </c>
      <c r="U82" s="98"/>
      <c r="V82" s="99"/>
      <c r="W82" s="100"/>
      <c r="X82" s="98"/>
      <c r="Y82" s="101"/>
    </row>
    <row r="83" spans="1:25" s="26" customFormat="1" x14ac:dyDescent="0.25">
      <c r="A83" s="90"/>
      <c r="B83" s="104"/>
      <c r="C83" s="92"/>
      <c r="D83" s="92"/>
      <c r="E83" s="92"/>
      <c r="F83" s="92"/>
      <c r="G83" s="122"/>
      <c r="H83" s="100"/>
      <c r="I83" s="100"/>
      <c r="J83" s="93"/>
      <c r="K83" s="93"/>
      <c r="L83" s="93"/>
      <c r="M83" s="93"/>
      <c r="N83" s="93"/>
      <c r="O83" s="93"/>
      <c r="P83" s="93"/>
      <c r="Q83" s="93"/>
      <c r="R83" s="100"/>
      <c r="S83" s="100"/>
      <c r="T83" s="95" cm="1">
        <f t="array" ref="T83">SUM(G83:S83/2)</f>
        <v>0</v>
      </c>
      <c r="U83" s="98"/>
      <c r="V83" s="99"/>
      <c r="W83" s="100"/>
      <c r="X83" s="98"/>
      <c r="Y83" s="101"/>
    </row>
    <row r="84" spans="1:25" s="26" customFormat="1" x14ac:dyDescent="0.25">
      <c r="A84" s="90"/>
      <c r="B84" s="105" t="s">
        <v>232</v>
      </c>
      <c r="C84" s="92"/>
      <c r="D84" s="92"/>
      <c r="E84" s="92"/>
      <c r="F84" s="92"/>
      <c r="G84" s="122"/>
      <c r="H84" s="100"/>
      <c r="I84" s="100"/>
      <c r="J84" s="93"/>
      <c r="K84" s="93"/>
      <c r="L84" s="93"/>
      <c r="M84" s="93"/>
      <c r="N84" s="93"/>
      <c r="O84" s="93"/>
      <c r="P84" s="93"/>
      <c r="Q84" s="93"/>
      <c r="R84" s="100"/>
      <c r="S84" s="100"/>
      <c r="T84" s="95" cm="1">
        <f t="array" ref="T84">SUM(G84:S84/2)</f>
        <v>0</v>
      </c>
      <c r="U84" s="98"/>
      <c r="V84" s="99"/>
      <c r="W84" s="100"/>
      <c r="X84" s="98"/>
      <c r="Y84" s="101"/>
    </row>
    <row r="85" spans="1:25" s="26" customFormat="1" x14ac:dyDescent="0.25">
      <c r="A85" s="90">
        <v>1</v>
      </c>
      <c r="B85" s="104" t="s">
        <v>138</v>
      </c>
      <c r="C85" s="92" t="s">
        <v>218</v>
      </c>
      <c r="D85" s="92" t="s">
        <v>188</v>
      </c>
      <c r="E85" s="92"/>
      <c r="F85" s="92" t="s">
        <v>304</v>
      </c>
      <c r="G85" s="122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95" cm="1">
        <f t="array" ref="T85">SUM(G85:S85/2)</f>
        <v>0</v>
      </c>
      <c r="U85" s="98">
        <v>0</v>
      </c>
      <c r="V85" s="99">
        <f t="shared" si="0"/>
        <v>0</v>
      </c>
      <c r="W85" s="100"/>
      <c r="X85" s="98"/>
      <c r="Y85" s="101"/>
    </row>
    <row r="86" spans="1:25" s="26" customFormat="1" x14ac:dyDescent="0.25">
      <c r="A86" s="90">
        <v>2</v>
      </c>
      <c r="B86" s="104" t="s">
        <v>219</v>
      </c>
      <c r="C86" s="92" t="s">
        <v>218</v>
      </c>
      <c r="D86" s="92" t="s">
        <v>188</v>
      </c>
      <c r="E86" s="92"/>
      <c r="F86" s="92" t="s">
        <v>304</v>
      </c>
      <c r="G86" s="122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95" cm="1">
        <f t="array" ref="T86">SUM(G86:S86/2)</f>
        <v>0</v>
      </c>
      <c r="U86" s="98">
        <v>0</v>
      </c>
      <c r="V86" s="99">
        <f t="shared" si="0"/>
        <v>0</v>
      </c>
      <c r="W86" s="100"/>
      <c r="X86" s="98"/>
      <c r="Y86" s="101"/>
    </row>
    <row r="87" spans="1:25" s="26" customFormat="1" x14ac:dyDescent="0.25">
      <c r="A87" s="90"/>
      <c r="B87" s="104"/>
      <c r="C87" s="92"/>
      <c r="D87" s="92"/>
      <c r="E87" s="92"/>
      <c r="F87" s="92"/>
      <c r="G87" s="122"/>
      <c r="H87" s="100"/>
      <c r="I87" s="100"/>
      <c r="J87" s="93"/>
      <c r="K87" s="93"/>
      <c r="L87" s="100"/>
      <c r="M87" s="100"/>
      <c r="N87" s="100"/>
      <c r="O87" s="100"/>
      <c r="P87" s="100"/>
      <c r="Q87" s="100"/>
      <c r="R87" s="100"/>
      <c r="S87" s="100"/>
      <c r="T87" s="95" cm="1">
        <f t="array" ref="T87">SUM(G87:S87/2)</f>
        <v>0</v>
      </c>
      <c r="U87" s="98"/>
      <c r="V87" s="99"/>
      <c r="W87" s="100"/>
      <c r="X87" s="98"/>
      <c r="Y87" s="101"/>
    </row>
    <row r="88" spans="1:25" s="26" customFormat="1" x14ac:dyDescent="0.25">
      <c r="A88" s="90"/>
      <c r="B88" s="105" t="s">
        <v>233</v>
      </c>
      <c r="C88" s="92"/>
      <c r="D88" s="92"/>
      <c r="E88" s="92"/>
      <c r="F88" s="92"/>
      <c r="G88" s="122"/>
      <c r="H88" s="100"/>
      <c r="I88" s="100"/>
      <c r="J88" s="93"/>
      <c r="K88" s="93"/>
      <c r="L88" s="100"/>
      <c r="M88" s="100"/>
      <c r="N88" s="100"/>
      <c r="O88" s="100"/>
      <c r="P88" s="100"/>
      <c r="Q88" s="100"/>
      <c r="R88" s="100"/>
      <c r="S88" s="100"/>
      <c r="T88" s="95" cm="1">
        <f t="array" ref="T88">SUM(G88:S88/2)</f>
        <v>0</v>
      </c>
      <c r="U88" s="98"/>
      <c r="V88" s="99">
        <f t="shared" si="0"/>
        <v>0</v>
      </c>
      <c r="W88" s="100"/>
      <c r="X88" s="98"/>
      <c r="Y88" s="101"/>
    </row>
    <row r="89" spans="1:25" s="26" customFormat="1" x14ac:dyDescent="0.25">
      <c r="A89" s="90">
        <v>1</v>
      </c>
      <c r="B89" s="104" t="s">
        <v>139</v>
      </c>
      <c r="C89" s="92" t="s">
        <v>191</v>
      </c>
      <c r="D89" s="92" t="s">
        <v>188</v>
      </c>
      <c r="E89" s="92" t="s">
        <v>44</v>
      </c>
      <c r="F89" s="92" t="s">
        <v>304</v>
      </c>
      <c r="G89" s="122">
        <v>451000</v>
      </c>
      <c r="H89" s="100">
        <v>451000</v>
      </c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95" cm="1">
        <f t="array" ref="T89">SUM(G89:S89/2)</f>
        <v>451000</v>
      </c>
      <c r="U89" s="98">
        <v>0</v>
      </c>
      <c r="V89" s="99">
        <f t="shared" si="0"/>
        <v>451000</v>
      </c>
      <c r="W89" s="100"/>
      <c r="X89" s="98"/>
      <c r="Y89" s="101"/>
    </row>
    <row r="90" spans="1:25" s="26" customFormat="1" x14ac:dyDescent="0.25">
      <c r="A90" s="90">
        <v>2</v>
      </c>
      <c r="B90" s="104" t="s">
        <v>139</v>
      </c>
      <c r="C90" s="92" t="s">
        <v>191</v>
      </c>
      <c r="D90" s="92" t="s">
        <v>188</v>
      </c>
      <c r="E90" s="92"/>
      <c r="F90" s="92" t="s">
        <v>304</v>
      </c>
      <c r="G90" s="122">
        <v>451000</v>
      </c>
      <c r="H90" s="100">
        <v>451000</v>
      </c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95" cm="1">
        <f t="array" ref="T90">SUM(G90:S90/2)</f>
        <v>451000</v>
      </c>
      <c r="U90" s="98">
        <v>0</v>
      </c>
      <c r="V90" s="99">
        <f t="shared" si="0"/>
        <v>451000</v>
      </c>
      <c r="W90" s="100"/>
      <c r="X90" s="98"/>
      <c r="Y90" s="101"/>
    </row>
    <row r="91" spans="1:25" s="26" customFormat="1" x14ac:dyDescent="0.25">
      <c r="A91" s="90">
        <v>3</v>
      </c>
      <c r="B91" s="104" t="s">
        <v>140</v>
      </c>
      <c r="C91" s="92" t="s">
        <v>191</v>
      </c>
      <c r="D91" s="92" t="s">
        <v>188</v>
      </c>
      <c r="E91" s="92" t="s">
        <v>44</v>
      </c>
      <c r="F91" s="92" t="s">
        <v>304</v>
      </c>
      <c r="G91" s="122">
        <v>451000</v>
      </c>
      <c r="H91" s="100">
        <v>451000</v>
      </c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95" cm="1">
        <f t="array" ref="T91">SUM(G91:S91/2)</f>
        <v>451000</v>
      </c>
      <c r="U91" s="98">
        <v>0</v>
      </c>
      <c r="V91" s="99">
        <f t="shared" si="0"/>
        <v>451000</v>
      </c>
      <c r="W91" s="100"/>
      <c r="X91" s="98"/>
      <c r="Y91" s="101"/>
    </row>
    <row r="92" spans="1:25" s="26" customFormat="1" x14ac:dyDescent="0.25">
      <c r="A92" s="90"/>
      <c r="B92" s="104"/>
      <c r="C92" s="92"/>
      <c r="D92" s="92"/>
      <c r="E92" s="92"/>
      <c r="F92" s="92"/>
      <c r="G92" s="122"/>
      <c r="H92" s="100"/>
      <c r="I92" s="100"/>
      <c r="J92" s="93"/>
      <c r="K92" s="93"/>
      <c r="L92" s="100"/>
      <c r="M92" s="100"/>
      <c r="N92" s="100"/>
      <c r="O92" s="100"/>
      <c r="P92" s="100"/>
      <c r="Q92" s="100"/>
      <c r="R92" s="100"/>
      <c r="S92" s="100"/>
      <c r="T92" s="95" cm="1">
        <f t="array" ref="T92">SUM(G92:S92/2)</f>
        <v>0</v>
      </c>
      <c r="U92" s="98"/>
      <c r="V92" s="99">
        <f t="shared" si="0"/>
        <v>0</v>
      </c>
      <c r="W92" s="100"/>
      <c r="X92" s="98"/>
      <c r="Y92" s="101"/>
    </row>
    <row r="93" spans="1:25" s="26" customFormat="1" x14ac:dyDescent="0.25">
      <c r="A93" s="90"/>
      <c r="B93" s="105" t="s">
        <v>234</v>
      </c>
      <c r="C93" s="92"/>
      <c r="D93" s="92"/>
      <c r="E93" s="92"/>
      <c r="F93" s="92"/>
      <c r="G93" s="122"/>
      <c r="H93" s="100"/>
      <c r="I93" s="100"/>
      <c r="J93" s="93"/>
      <c r="K93" s="93"/>
      <c r="L93" s="100"/>
      <c r="M93" s="100"/>
      <c r="N93" s="100"/>
      <c r="O93" s="100"/>
      <c r="P93" s="100"/>
      <c r="Q93" s="100"/>
      <c r="R93" s="100"/>
      <c r="S93" s="100"/>
      <c r="T93" s="95" cm="1">
        <f t="array" ref="T93">SUM(G93:S93/2)</f>
        <v>0</v>
      </c>
      <c r="U93" s="98"/>
      <c r="V93" s="99"/>
      <c r="W93" s="100"/>
      <c r="X93" s="98"/>
      <c r="Y93" s="101"/>
    </row>
    <row r="94" spans="1:25" s="26" customFormat="1" x14ac:dyDescent="0.25">
      <c r="A94" s="90">
        <v>1</v>
      </c>
      <c r="B94" s="104" t="s">
        <v>142</v>
      </c>
      <c r="C94" s="92" t="s">
        <v>191</v>
      </c>
      <c r="D94" s="92" t="s">
        <v>188</v>
      </c>
      <c r="E94" s="92" t="s">
        <v>44</v>
      </c>
      <c r="F94" s="92" t="s">
        <v>304</v>
      </c>
      <c r="G94" s="122">
        <v>378510</v>
      </c>
      <c r="H94" s="100">
        <v>378510</v>
      </c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95" cm="1">
        <f t="array" ref="T94">SUM(G94:S94/2)</f>
        <v>378510</v>
      </c>
      <c r="U94" s="98"/>
      <c r="V94" s="99">
        <f t="shared" si="0"/>
        <v>378510</v>
      </c>
      <c r="W94" s="100">
        <v>345210</v>
      </c>
      <c r="X94" s="98"/>
      <c r="Y94" s="101"/>
    </row>
    <row r="95" spans="1:25" s="26" customFormat="1" x14ac:dyDescent="0.25">
      <c r="A95" s="90">
        <v>2</v>
      </c>
      <c r="B95" s="104" t="s">
        <v>142</v>
      </c>
      <c r="C95" s="92" t="s">
        <v>196</v>
      </c>
      <c r="D95" s="92" t="s">
        <v>188</v>
      </c>
      <c r="E95" s="92" t="s">
        <v>44</v>
      </c>
      <c r="F95" s="92" t="s">
        <v>304</v>
      </c>
      <c r="G95" s="122">
        <v>345210</v>
      </c>
      <c r="H95" s="100">
        <v>345210</v>
      </c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95" cm="1">
        <f t="array" ref="T95">SUM(G95:S95/2)</f>
        <v>345210</v>
      </c>
      <c r="U95" s="98">
        <v>5000</v>
      </c>
      <c r="V95" s="99">
        <f t="shared" si="0"/>
        <v>350210</v>
      </c>
      <c r="W95" s="100"/>
      <c r="X95" s="98"/>
      <c r="Y95" s="101"/>
    </row>
    <row r="96" spans="1:25" s="26" customFormat="1" x14ac:dyDescent="0.25">
      <c r="A96" s="90">
        <v>3</v>
      </c>
      <c r="B96" s="104" t="s">
        <v>143</v>
      </c>
      <c r="C96" s="92" t="s">
        <v>191</v>
      </c>
      <c r="D96" s="92" t="s">
        <v>188</v>
      </c>
      <c r="E96" s="92" t="s">
        <v>44</v>
      </c>
      <c r="F96" s="92" t="s">
        <v>304</v>
      </c>
      <c r="G96" s="122">
        <v>378510</v>
      </c>
      <c r="H96" s="100">
        <v>378510</v>
      </c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95" cm="1">
        <f t="array" ref="T96">SUM(G96:S96/2)</f>
        <v>378510</v>
      </c>
      <c r="U96" s="98"/>
      <c r="V96" s="99">
        <f t="shared" ref="V96:V139" si="2">U96+T96</f>
        <v>378510</v>
      </c>
      <c r="W96" s="100">
        <v>345210</v>
      </c>
      <c r="X96" s="98"/>
      <c r="Y96" s="101"/>
    </row>
    <row r="97" spans="1:25" s="26" customFormat="1" x14ac:dyDescent="0.25">
      <c r="A97" s="90">
        <v>4</v>
      </c>
      <c r="B97" s="104" t="s">
        <v>143</v>
      </c>
      <c r="C97" s="92" t="s">
        <v>196</v>
      </c>
      <c r="D97" s="92" t="s">
        <v>188</v>
      </c>
      <c r="E97" s="92" t="s">
        <v>44</v>
      </c>
      <c r="F97" s="92" t="s">
        <v>304</v>
      </c>
      <c r="G97" s="122">
        <v>345210</v>
      </c>
      <c r="H97" s="100">
        <v>345210</v>
      </c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95" cm="1">
        <f t="array" ref="T97">SUM(G97:S97/2)</f>
        <v>345210</v>
      </c>
      <c r="U97" s="98">
        <v>5000</v>
      </c>
      <c r="V97" s="99">
        <f t="shared" si="2"/>
        <v>350210</v>
      </c>
      <c r="W97" s="100"/>
      <c r="X97" s="98"/>
      <c r="Y97" s="101"/>
    </row>
    <row r="98" spans="1:25" s="26" customFormat="1" x14ac:dyDescent="0.25">
      <c r="A98" s="90">
        <v>5</v>
      </c>
      <c r="B98" s="104" t="s">
        <v>144</v>
      </c>
      <c r="C98" s="92" t="s">
        <v>191</v>
      </c>
      <c r="D98" s="92" t="s">
        <v>188</v>
      </c>
      <c r="E98" s="92" t="s">
        <v>44</v>
      </c>
      <c r="F98" s="92" t="s">
        <v>304</v>
      </c>
      <c r="G98" s="122">
        <v>378510</v>
      </c>
      <c r="H98" s="100">
        <v>378510</v>
      </c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95" cm="1">
        <f t="array" ref="T98">SUM(G98:S98/2)</f>
        <v>378510</v>
      </c>
      <c r="U98" s="98"/>
      <c r="V98" s="99">
        <f t="shared" si="2"/>
        <v>378510</v>
      </c>
      <c r="W98" s="100">
        <v>345210</v>
      </c>
      <c r="X98" s="98"/>
      <c r="Y98" s="101"/>
    </row>
    <row r="99" spans="1:25" s="26" customFormat="1" x14ac:dyDescent="0.25">
      <c r="A99" s="90">
        <v>6</v>
      </c>
      <c r="B99" s="104" t="s">
        <v>144</v>
      </c>
      <c r="C99" s="92" t="s">
        <v>196</v>
      </c>
      <c r="D99" s="92" t="s">
        <v>188</v>
      </c>
      <c r="E99" s="92" t="s">
        <v>44</v>
      </c>
      <c r="F99" s="92" t="s">
        <v>304</v>
      </c>
      <c r="G99" s="122">
        <v>345210</v>
      </c>
      <c r="H99" s="100">
        <v>345210</v>
      </c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95" cm="1">
        <f t="array" ref="T99">SUM(G99:S99/2)</f>
        <v>345210</v>
      </c>
      <c r="U99" s="98">
        <v>5000</v>
      </c>
      <c r="V99" s="99">
        <f t="shared" si="2"/>
        <v>350210</v>
      </c>
      <c r="W99" s="100"/>
      <c r="X99" s="98"/>
      <c r="Y99" s="101"/>
    </row>
    <row r="100" spans="1:25" s="26" customFormat="1" x14ac:dyDescent="0.25">
      <c r="A100" s="90"/>
      <c r="B100" s="104"/>
      <c r="C100" s="92"/>
      <c r="D100" s="92"/>
      <c r="E100" s="92"/>
      <c r="F100" s="92"/>
      <c r="G100" s="92"/>
      <c r="H100" s="100"/>
      <c r="I100" s="100"/>
      <c r="J100" s="93"/>
      <c r="K100" s="93"/>
      <c r="L100" s="100"/>
      <c r="M100" s="100"/>
      <c r="N100" s="100"/>
      <c r="O100" s="100"/>
      <c r="P100" s="100"/>
      <c r="Q100" s="100"/>
      <c r="R100" s="100"/>
      <c r="S100" s="100"/>
      <c r="T100" s="95" cm="1">
        <f t="array" ref="T100">SUM(G100:S100/2)</f>
        <v>0</v>
      </c>
      <c r="U100" s="98"/>
      <c r="V100" s="99"/>
      <c r="W100" s="100"/>
      <c r="X100" s="98"/>
      <c r="Y100" s="101"/>
    </row>
    <row r="101" spans="1:25" s="26" customFormat="1" x14ac:dyDescent="0.25">
      <c r="A101" s="90"/>
      <c r="B101" s="104"/>
      <c r="C101" s="107"/>
      <c r="D101" s="107"/>
      <c r="E101" s="104"/>
      <c r="F101" s="104"/>
      <c r="G101" s="104"/>
      <c r="H101" s="100"/>
      <c r="I101" s="100"/>
      <c r="J101" s="93"/>
      <c r="K101" s="93"/>
      <c r="L101" s="100"/>
      <c r="M101" s="100"/>
      <c r="N101" s="100"/>
      <c r="O101" s="100"/>
      <c r="P101" s="100"/>
      <c r="Q101" s="100"/>
      <c r="R101" s="100"/>
      <c r="S101" s="100"/>
      <c r="T101" s="95" cm="1">
        <f t="array" ref="T101">SUM(G101:S101/2)</f>
        <v>0</v>
      </c>
      <c r="U101" s="98"/>
      <c r="V101" s="99">
        <f t="shared" si="2"/>
        <v>0</v>
      </c>
      <c r="W101" s="100"/>
      <c r="X101" s="98"/>
      <c r="Y101" s="101"/>
    </row>
    <row r="102" spans="1:25" s="26" customFormat="1" x14ac:dyDescent="0.25">
      <c r="A102" s="90">
        <v>1</v>
      </c>
      <c r="B102" s="104" t="s">
        <v>224</v>
      </c>
      <c r="C102" s="107" t="s">
        <v>222</v>
      </c>
      <c r="D102" s="107" t="s">
        <v>189</v>
      </c>
      <c r="E102" s="107" t="s">
        <v>45</v>
      </c>
      <c r="F102" s="107" t="s">
        <v>315</v>
      </c>
      <c r="G102" s="123">
        <v>5200</v>
      </c>
      <c r="H102" s="100">
        <v>5200</v>
      </c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95" cm="1">
        <f t="array" ref="T102">SUM(G102:S102/2)</f>
        <v>5200</v>
      </c>
      <c r="U102" s="98">
        <v>0</v>
      </c>
      <c r="V102" s="99">
        <f t="shared" si="2"/>
        <v>5200</v>
      </c>
      <c r="W102" s="100"/>
      <c r="X102" s="98"/>
      <c r="Y102" s="101"/>
    </row>
    <row r="103" spans="1:25" s="26" customFormat="1" x14ac:dyDescent="0.25">
      <c r="A103" s="90">
        <v>2</v>
      </c>
      <c r="B103" s="104" t="s">
        <v>224</v>
      </c>
      <c r="C103" s="107" t="s">
        <v>433</v>
      </c>
      <c r="D103" s="107" t="s">
        <v>188</v>
      </c>
      <c r="E103" s="107"/>
      <c r="F103" s="107" t="s">
        <v>315</v>
      </c>
      <c r="G103" s="123">
        <v>8400</v>
      </c>
      <c r="H103" s="100">
        <v>8400</v>
      </c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95" cm="1">
        <f t="array" ref="T103">SUM(G103:S103/2)</f>
        <v>8400</v>
      </c>
      <c r="U103" s="98"/>
      <c r="V103" s="99"/>
      <c r="W103" s="100"/>
      <c r="X103" s="98"/>
      <c r="Y103" s="101"/>
    </row>
    <row r="104" spans="1:25" s="26" customFormat="1" x14ac:dyDescent="0.25">
      <c r="A104" s="90"/>
      <c r="B104" s="104" t="s">
        <v>225</v>
      </c>
      <c r="C104" s="107" t="s">
        <v>222</v>
      </c>
      <c r="D104" s="107" t="s">
        <v>189</v>
      </c>
      <c r="E104" s="107"/>
      <c r="F104" s="107" t="s">
        <v>315</v>
      </c>
      <c r="G104" s="123">
        <v>3200</v>
      </c>
      <c r="H104" s="100">
        <v>3200</v>
      </c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95" cm="1">
        <f t="array" ref="T104">SUM(G104:S104/2)</f>
        <v>3200</v>
      </c>
      <c r="U104" s="98">
        <v>0</v>
      </c>
      <c r="V104" s="99">
        <f t="shared" si="2"/>
        <v>3200</v>
      </c>
      <c r="W104" s="100"/>
      <c r="X104" s="98"/>
      <c r="Y104" s="101"/>
    </row>
    <row r="105" spans="1:25" s="26" customFormat="1" x14ac:dyDescent="0.25">
      <c r="A105" s="90"/>
      <c r="B105" s="104" t="s">
        <v>225</v>
      </c>
      <c r="C105" s="107" t="s">
        <v>433</v>
      </c>
      <c r="D105" s="107" t="s">
        <v>188</v>
      </c>
      <c r="E105" s="107"/>
      <c r="F105" s="107" t="s">
        <v>315</v>
      </c>
      <c r="G105" s="123">
        <v>4400</v>
      </c>
      <c r="H105" s="100">
        <v>4400</v>
      </c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95" cm="1">
        <f t="array" ref="T105">SUM(G105:S105/2)</f>
        <v>4400</v>
      </c>
      <c r="U105" s="98"/>
      <c r="V105" s="99"/>
      <c r="W105" s="100"/>
      <c r="X105" s="98"/>
      <c r="Y105" s="101"/>
    </row>
    <row r="106" spans="1:25" s="26" customFormat="1" x14ac:dyDescent="0.25">
      <c r="A106" s="90"/>
      <c r="B106" s="104" t="s">
        <v>47</v>
      </c>
      <c r="C106" s="107" t="s">
        <v>191</v>
      </c>
      <c r="D106" s="107" t="s">
        <v>188</v>
      </c>
      <c r="E106" s="107" t="s">
        <v>45</v>
      </c>
      <c r="F106" s="107" t="s">
        <v>315</v>
      </c>
      <c r="G106" s="123">
        <v>9000</v>
      </c>
      <c r="H106" s="100">
        <v>9000</v>
      </c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95" cm="1">
        <f t="array" ref="T106">SUM(G106:S106/2)</f>
        <v>9000</v>
      </c>
      <c r="U106" s="98">
        <v>0</v>
      </c>
      <c r="V106" s="99">
        <f t="shared" si="2"/>
        <v>9000</v>
      </c>
      <c r="W106" s="100"/>
      <c r="X106" s="98"/>
      <c r="Y106" s="101"/>
    </row>
    <row r="107" spans="1:25" s="26" customFormat="1" x14ac:dyDescent="0.25">
      <c r="A107" s="90"/>
      <c r="B107" s="104" t="s">
        <v>216</v>
      </c>
      <c r="C107" s="92" t="s">
        <v>191</v>
      </c>
      <c r="D107" s="92" t="s">
        <v>188</v>
      </c>
      <c r="E107" s="107"/>
      <c r="F107" s="107" t="s">
        <v>315</v>
      </c>
      <c r="G107" s="123">
        <v>5000</v>
      </c>
      <c r="H107" s="100">
        <v>5000</v>
      </c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95" cm="1">
        <f t="array" ref="T107">SUM(G107:S107/2)</f>
        <v>5000</v>
      </c>
      <c r="U107" s="98">
        <v>0</v>
      </c>
      <c r="V107" s="99">
        <f t="shared" si="2"/>
        <v>5000</v>
      </c>
      <c r="W107" s="100"/>
      <c r="X107" s="98"/>
      <c r="Y107" s="101"/>
    </row>
    <row r="108" spans="1:25" s="26" customFormat="1" x14ac:dyDescent="0.25">
      <c r="A108" s="90"/>
      <c r="B108" s="104" t="s">
        <v>46</v>
      </c>
      <c r="C108" s="107" t="s">
        <v>191</v>
      </c>
      <c r="D108" s="107" t="s">
        <v>188</v>
      </c>
      <c r="E108" s="107" t="s">
        <v>45</v>
      </c>
      <c r="F108" s="107" t="s">
        <v>315</v>
      </c>
      <c r="G108" s="123">
        <v>5000</v>
      </c>
      <c r="H108" s="100">
        <v>5000</v>
      </c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95" cm="1">
        <f t="array" ref="T108">SUM(G108:S108/2)</f>
        <v>5000</v>
      </c>
      <c r="U108" s="98">
        <v>0</v>
      </c>
      <c r="V108" s="99">
        <f t="shared" si="2"/>
        <v>5000</v>
      </c>
      <c r="W108" s="100"/>
      <c r="X108" s="98"/>
      <c r="Y108" s="101"/>
    </row>
    <row r="109" spans="1:25" s="26" customFormat="1" x14ac:dyDescent="0.25">
      <c r="A109" s="90"/>
      <c r="B109" s="104" t="s">
        <v>46</v>
      </c>
      <c r="C109" s="107" t="s">
        <v>433</v>
      </c>
      <c r="D109" s="107" t="s">
        <v>188</v>
      </c>
      <c r="E109" s="107"/>
      <c r="F109" s="107" t="s">
        <v>315</v>
      </c>
      <c r="G109" s="123">
        <v>4172</v>
      </c>
      <c r="H109" s="100">
        <v>5000</v>
      </c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95"/>
      <c r="U109" s="98"/>
      <c r="V109" s="99"/>
      <c r="W109" s="100"/>
      <c r="X109" s="98"/>
      <c r="Y109" s="101"/>
    </row>
    <row r="110" spans="1:25" s="26" customFormat="1" x14ac:dyDescent="0.25">
      <c r="A110" s="90"/>
      <c r="B110" s="104" t="s">
        <v>215</v>
      </c>
      <c r="C110" s="107" t="s">
        <v>191</v>
      </c>
      <c r="D110" s="107" t="s">
        <v>188</v>
      </c>
      <c r="E110" s="107" t="s">
        <v>45</v>
      </c>
      <c r="F110" s="107" t="s">
        <v>315</v>
      </c>
      <c r="G110" s="123">
        <v>2500</v>
      </c>
      <c r="H110" s="100">
        <v>2500</v>
      </c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95" cm="1">
        <f t="array" ref="T110">SUM(G110:S110/2)</f>
        <v>2500</v>
      </c>
      <c r="U110" s="98">
        <v>0</v>
      </c>
      <c r="V110" s="99">
        <f t="shared" si="2"/>
        <v>2500</v>
      </c>
      <c r="W110" s="100"/>
      <c r="X110" s="98"/>
      <c r="Y110" s="101"/>
    </row>
    <row r="111" spans="1:25" s="26" customFormat="1" x14ac:dyDescent="0.25">
      <c r="A111" s="90"/>
      <c r="B111" s="104" t="s">
        <v>223</v>
      </c>
      <c r="C111" s="107" t="s">
        <v>222</v>
      </c>
      <c r="D111" s="107" t="s">
        <v>189</v>
      </c>
      <c r="E111" s="107" t="s">
        <v>45</v>
      </c>
      <c r="F111" s="107" t="s">
        <v>315</v>
      </c>
      <c r="G111" s="123">
        <v>3200</v>
      </c>
      <c r="H111" s="100">
        <v>3200</v>
      </c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95" cm="1">
        <f t="array" ref="T111">SUM(G111:S111/2)</f>
        <v>3200</v>
      </c>
      <c r="U111" s="98">
        <v>0</v>
      </c>
      <c r="V111" s="99">
        <f t="shared" si="2"/>
        <v>3200</v>
      </c>
      <c r="W111" s="100"/>
      <c r="X111" s="98"/>
      <c r="Y111" s="101"/>
    </row>
    <row r="112" spans="1:25" s="26" customFormat="1" x14ac:dyDescent="0.25">
      <c r="A112" s="90"/>
      <c r="B112" s="104" t="s">
        <v>223</v>
      </c>
      <c r="C112" s="107" t="s">
        <v>191</v>
      </c>
      <c r="D112" s="107" t="s">
        <v>188</v>
      </c>
      <c r="E112" s="107" t="s">
        <v>45</v>
      </c>
      <c r="F112" s="107" t="s">
        <v>315</v>
      </c>
      <c r="G112" s="123">
        <v>6000</v>
      </c>
      <c r="H112" s="100">
        <v>6000</v>
      </c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95" cm="1">
        <f t="array" ref="T112">SUM(G112:S112/2)</f>
        <v>6000</v>
      </c>
      <c r="U112" s="98">
        <v>0</v>
      </c>
      <c r="V112" s="99">
        <f t="shared" si="2"/>
        <v>6000</v>
      </c>
      <c r="W112" s="100"/>
      <c r="X112" s="98"/>
      <c r="Y112" s="101"/>
    </row>
    <row r="113" spans="1:25" s="26" customFormat="1" x14ac:dyDescent="0.25">
      <c r="A113" s="90"/>
      <c r="B113" s="104" t="s">
        <v>226</v>
      </c>
      <c r="C113" s="107" t="s">
        <v>191</v>
      </c>
      <c r="D113" s="107" t="s">
        <v>188</v>
      </c>
      <c r="E113" s="107"/>
      <c r="F113" s="107" t="s">
        <v>315</v>
      </c>
      <c r="G113" s="123">
        <v>3000</v>
      </c>
      <c r="H113" s="100">
        <v>3000</v>
      </c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95" cm="1">
        <f t="array" ref="T113">SUM(G113:S113/2)</f>
        <v>3000</v>
      </c>
      <c r="U113" s="98">
        <v>0</v>
      </c>
      <c r="V113" s="99">
        <f t="shared" si="2"/>
        <v>3000</v>
      </c>
      <c r="W113" s="100"/>
      <c r="X113" s="98"/>
      <c r="Y113" s="101"/>
    </row>
    <row r="114" spans="1:25" s="26" customFormat="1" x14ac:dyDescent="0.25">
      <c r="A114" s="90"/>
      <c r="B114" s="104" t="s">
        <v>227</v>
      </c>
      <c r="C114" s="107" t="s">
        <v>222</v>
      </c>
      <c r="D114" s="107" t="s">
        <v>189</v>
      </c>
      <c r="E114" s="107"/>
      <c r="F114" s="107" t="s">
        <v>315</v>
      </c>
      <c r="G114" s="123">
        <v>3200</v>
      </c>
      <c r="H114" s="100">
        <v>3200</v>
      </c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95" cm="1">
        <f t="array" ref="T114">SUM(G114:S114/2)</f>
        <v>3200</v>
      </c>
      <c r="U114" s="98">
        <v>0</v>
      </c>
      <c r="V114" s="99">
        <f t="shared" si="2"/>
        <v>3200</v>
      </c>
      <c r="W114" s="100"/>
      <c r="X114" s="98"/>
      <c r="Y114" s="101"/>
    </row>
    <row r="115" spans="1:25" s="26" customFormat="1" x14ac:dyDescent="0.25">
      <c r="A115" s="90"/>
      <c r="B115" s="104" t="s">
        <v>228</v>
      </c>
      <c r="C115" s="107" t="s">
        <v>222</v>
      </c>
      <c r="D115" s="107" t="s">
        <v>189</v>
      </c>
      <c r="E115" s="107"/>
      <c r="F115" s="107" t="s">
        <v>315</v>
      </c>
      <c r="G115" s="123">
        <v>5200</v>
      </c>
      <c r="H115" s="100">
        <v>5200</v>
      </c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95" cm="1">
        <f t="array" ref="T115">SUM(G115:S115/2)</f>
        <v>5200</v>
      </c>
      <c r="U115" s="98">
        <v>0</v>
      </c>
      <c r="V115" s="99">
        <f t="shared" si="2"/>
        <v>5200</v>
      </c>
      <c r="W115" s="100"/>
      <c r="X115" s="98"/>
      <c r="Y115" s="101"/>
    </row>
    <row r="116" spans="1:25" s="26" customFormat="1" x14ac:dyDescent="0.25">
      <c r="A116" s="90"/>
      <c r="B116" s="104" t="s">
        <v>102</v>
      </c>
      <c r="C116" s="107" t="s">
        <v>191</v>
      </c>
      <c r="D116" s="107" t="s">
        <v>188</v>
      </c>
      <c r="E116" s="107" t="s">
        <v>45</v>
      </c>
      <c r="F116" s="107" t="s">
        <v>315</v>
      </c>
      <c r="G116" s="123">
        <v>6000</v>
      </c>
      <c r="H116" s="100">
        <v>6000</v>
      </c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95" cm="1">
        <f t="array" ref="T116">SUM(G116:S116/2)</f>
        <v>6000</v>
      </c>
      <c r="U116" s="98">
        <v>0</v>
      </c>
      <c r="V116" s="99">
        <f t="shared" si="2"/>
        <v>6000</v>
      </c>
      <c r="W116" s="100"/>
      <c r="X116" s="98"/>
      <c r="Y116" s="101"/>
    </row>
    <row r="117" spans="1:25" s="26" customFormat="1" x14ac:dyDescent="0.25">
      <c r="A117" s="90"/>
      <c r="B117" s="104" t="s">
        <v>103</v>
      </c>
      <c r="C117" s="107" t="s">
        <v>191</v>
      </c>
      <c r="D117" s="107" t="s">
        <v>188</v>
      </c>
      <c r="E117" s="107" t="s">
        <v>45</v>
      </c>
      <c r="F117" s="107" t="s">
        <v>315</v>
      </c>
      <c r="G117" s="123">
        <v>3000</v>
      </c>
      <c r="H117" s="100">
        <v>3000</v>
      </c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95" cm="1">
        <f t="array" ref="T117">SUM(G117:S117/2)</f>
        <v>3000</v>
      </c>
      <c r="U117" s="98">
        <v>0</v>
      </c>
      <c r="V117" s="99">
        <f t="shared" si="2"/>
        <v>3000</v>
      </c>
      <c r="W117" s="100"/>
      <c r="X117" s="98"/>
      <c r="Y117" s="101"/>
    </row>
    <row r="118" spans="1:25" s="26" customFormat="1" x14ac:dyDescent="0.25">
      <c r="A118" s="90"/>
      <c r="B118" s="104" t="s">
        <v>48</v>
      </c>
      <c r="C118" s="107" t="s">
        <v>191</v>
      </c>
      <c r="D118" s="107" t="s">
        <v>188</v>
      </c>
      <c r="E118" s="107" t="s">
        <v>45</v>
      </c>
      <c r="F118" s="107" t="s">
        <v>315</v>
      </c>
      <c r="G118" s="123">
        <v>45000</v>
      </c>
      <c r="H118" s="100">
        <v>45000</v>
      </c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95" cm="1">
        <f t="array" ref="T118">SUM(G118:S118/2)</f>
        <v>45000</v>
      </c>
      <c r="U118" s="98">
        <v>0</v>
      </c>
      <c r="V118" s="99">
        <f t="shared" si="2"/>
        <v>45000</v>
      </c>
      <c r="W118" s="100"/>
      <c r="X118" s="98"/>
      <c r="Y118" s="101"/>
    </row>
    <row r="119" spans="1:25" s="26" customFormat="1" x14ac:dyDescent="0.25">
      <c r="A119" s="90"/>
      <c r="B119" s="104" t="s">
        <v>163</v>
      </c>
      <c r="C119" s="107" t="s">
        <v>191</v>
      </c>
      <c r="D119" s="107" t="s">
        <v>188</v>
      </c>
      <c r="E119" s="107" t="s">
        <v>45</v>
      </c>
      <c r="F119" s="107" t="s">
        <v>315</v>
      </c>
      <c r="G119" s="123">
        <v>45000</v>
      </c>
      <c r="H119" s="100">
        <v>45000</v>
      </c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95" cm="1">
        <f t="array" ref="T119">SUM(G119:S119/2)</f>
        <v>45000</v>
      </c>
      <c r="U119" s="98">
        <v>0</v>
      </c>
      <c r="V119" s="99">
        <f t="shared" si="2"/>
        <v>45000</v>
      </c>
      <c r="W119" s="100"/>
      <c r="X119" s="98"/>
      <c r="Y119" s="101"/>
    </row>
    <row r="120" spans="1:25" s="26" customFormat="1" x14ac:dyDescent="0.25">
      <c r="A120" s="90"/>
      <c r="B120" s="104" t="s">
        <v>164</v>
      </c>
      <c r="C120" s="107" t="s">
        <v>191</v>
      </c>
      <c r="D120" s="107" t="s">
        <v>188</v>
      </c>
      <c r="E120" s="107" t="s">
        <v>45</v>
      </c>
      <c r="F120" s="107" t="s">
        <v>315</v>
      </c>
      <c r="G120" s="123">
        <v>45000</v>
      </c>
      <c r="H120" s="100">
        <v>45000</v>
      </c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95" cm="1">
        <f t="array" ref="T120">SUM(G120:S120/2)</f>
        <v>45000</v>
      </c>
      <c r="U120" s="98">
        <v>0</v>
      </c>
      <c r="V120" s="99">
        <f t="shared" si="2"/>
        <v>45000</v>
      </c>
      <c r="W120" s="100"/>
      <c r="X120" s="98"/>
      <c r="Y120" s="101"/>
    </row>
    <row r="121" spans="1:25" s="26" customFormat="1" x14ac:dyDescent="0.25">
      <c r="A121" s="90"/>
      <c r="B121" s="104" t="s">
        <v>104</v>
      </c>
      <c r="C121" s="107" t="s">
        <v>191</v>
      </c>
      <c r="D121" s="107" t="s">
        <v>188</v>
      </c>
      <c r="E121" s="107" t="s">
        <v>45</v>
      </c>
      <c r="F121" s="107" t="s">
        <v>315</v>
      </c>
      <c r="G121" s="123">
        <v>21500</v>
      </c>
      <c r="H121" s="100">
        <v>21500</v>
      </c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95" cm="1">
        <f t="array" ref="T121">SUM(G121:S121/2)</f>
        <v>21500</v>
      </c>
      <c r="U121" s="98">
        <v>0</v>
      </c>
      <c r="V121" s="99">
        <f t="shared" si="2"/>
        <v>21500</v>
      </c>
      <c r="W121" s="100"/>
      <c r="X121" s="98"/>
      <c r="Y121" s="101"/>
    </row>
    <row r="122" spans="1:25" s="26" customFormat="1" x14ac:dyDescent="0.25">
      <c r="A122" s="90"/>
      <c r="B122" s="104" t="s">
        <v>84</v>
      </c>
      <c r="C122" s="107" t="s">
        <v>177</v>
      </c>
      <c r="D122" s="107" t="s">
        <v>188</v>
      </c>
      <c r="E122" s="107" t="s">
        <v>44</v>
      </c>
      <c r="F122" s="107" t="s">
        <v>315</v>
      </c>
      <c r="G122" s="123">
        <v>1732000</v>
      </c>
      <c r="H122" s="123">
        <v>1732000</v>
      </c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95" cm="1">
        <f t="array" ref="T122">SUM(G122:S122/2)</f>
        <v>1732000</v>
      </c>
      <c r="U122" s="98">
        <v>0</v>
      </c>
      <c r="V122" s="99">
        <f t="shared" si="2"/>
        <v>1732000</v>
      </c>
      <c r="W122" s="100"/>
      <c r="X122" s="98"/>
      <c r="Y122" s="101"/>
    </row>
    <row r="123" spans="1:25" s="26" customFormat="1" x14ac:dyDescent="0.25">
      <c r="A123" s="90"/>
      <c r="B123" s="104" t="s">
        <v>85</v>
      </c>
      <c r="C123" s="107" t="s">
        <v>177</v>
      </c>
      <c r="D123" s="107" t="s">
        <v>188</v>
      </c>
      <c r="E123" s="107" t="s">
        <v>44</v>
      </c>
      <c r="F123" s="107" t="s">
        <v>315</v>
      </c>
      <c r="G123" s="123">
        <v>592000</v>
      </c>
      <c r="H123" s="100">
        <v>592000</v>
      </c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95" cm="1">
        <f t="array" ref="T123">SUM(G123:S123/2)</f>
        <v>592000</v>
      </c>
      <c r="U123" s="98">
        <v>0</v>
      </c>
      <c r="V123" s="99">
        <f t="shared" si="2"/>
        <v>592000</v>
      </c>
      <c r="W123" s="100"/>
      <c r="X123" s="98"/>
      <c r="Y123" s="101"/>
    </row>
    <row r="124" spans="1:25" s="26" customFormat="1" x14ac:dyDescent="0.25">
      <c r="A124" s="90"/>
      <c r="B124" s="104" t="s">
        <v>86</v>
      </c>
      <c r="C124" s="107" t="s">
        <v>177</v>
      </c>
      <c r="D124" s="107" t="s">
        <v>188</v>
      </c>
      <c r="E124" s="107" t="s">
        <v>44</v>
      </c>
      <c r="F124" s="107" t="s">
        <v>315</v>
      </c>
      <c r="G124" s="123">
        <v>976000</v>
      </c>
      <c r="H124" s="100">
        <v>976000</v>
      </c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95" cm="1">
        <f t="array" ref="T124">SUM(G124:S124/2)</f>
        <v>976000</v>
      </c>
      <c r="U124" s="98">
        <v>0</v>
      </c>
      <c r="V124" s="99">
        <f t="shared" si="2"/>
        <v>976000</v>
      </c>
      <c r="W124" s="100"/>
      <c r="X124" s="98"/>
      <c r="Y124" s="101"/>
    </row>
    <row r="125" spans="1:25" s="26" customFormat="1" x14ac:dyDescent="0.25">
      <c r="A125" s="90"/>
      <c r="B125" s="104" t="s">
        <v>87</v>
      </c>
      <c r="C125" s="107" t="s">
        <v>177</v>
      </c>
      <c r="D125" s="107" t="s">
        <v>188</v>
      </c>
      <c r="E125" s="107" t="s">
        <v>44</v>
      </c>
      <c r="F125" s="107" t="s">
        <v>315</v>
      </c>
      <c r="G125" s="123">
        <v>573000</v>
      </c>
      <c r="H125" s="100">
        <v>573000</v>
      </c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95" cm="1">
        <f t="array" ref="T125">SUM(G125:S125/2)</f>
        <v>573000</v>
      </c>
      <c r="U125" s="98">
        <v>0</v>
      </c>
      <c r="V125" s="99">
        <f t="shared" si="2"/>
        <v>573000</v>
      </c>
      <c r="W125" s="100"/>
      <c r="X125" s="98"/>
      <c r="Y125" s="101"/>
    </row>
    <row r="126" spans="1:25" s="26" customFormat="1" x14ac:dyDescent="0.25">
      <c r="A126" s="90"/>
      <c r="B126" s="104" t="s">
        <v>117</v>
      </c>
      <c r="C126" s="107" t="s">
        <v>177</v>
      </c>
      <c r="D126" s="107" t="s">
        <v>188</v>
      </c>
      <c r="E126" s="107" t="s">
        <v>44</v>
      </c>
      <c r="F126" s="107" t="s">
        <v>315</v>
      </c>
      <c r="G126" s="123">
        <v>935000</v>
      </c>
      <c r="H126" s="100">
        <v>935000</v>
      </c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95" cm="1">
        <f t="array" ref="T126">SUM(G126:S126/2)</f>
        <v>935000</v>
      </c>
      <c r="U126" s="98">
        <v>0</v>
      </c>
      <c r="V126" s="99">
        <f t="shared" si="2"/>
        <v>935000</v>
      </c>
      <c r="W126" s="100"/>
      <c r="X126" s="98"/>
      <c r="Y126" s="101"/>
    </row>
    <row r="127" spans="1:25" s="26" customFormat="1" x14ac:dyDescent="0.25">
      <c r="A127" s="90"/>
      <c r="B127" s="104"/>
      <c r="C127" s="107"/>
      <c r="D127" s="107"/>
      <c r="E127" s="107"/>
      <c r="F127" s="107"/>
      <c r="G127" s="107"/>
      <c r="H127" s="100"/>
      <c r="I127" s="100"/>
      <c r="J127" s="93"/>
      <c r="K127" s="93"/>
      <c r="L127" s="100"/>
      <c r="M127" s="100"/>
      <c r="N127" s="100"/>
      <c r="O127" s="100"/>
      <c r="P127" s="100"/>
      <c r="Q127" s="100"/>
      <c r="R127" s="100"/>
      <c r="S127" s="100"/>
      <c r="T127" s="95" cm="1">
        <f t="array" ref="T127">SUM(G127:S127/2)</f>
        <v>0</v>
      </c>
      <c r="U127" s="98"/>
      <c r="V127" s="99"/>
      <c r="W127" s="100"/>
      <c r="X127" s="98"/>
      <c r="Y127" s="101"/>
    </row>
    <row r="128" spans="1:25" s="26" customFormat="1" x14ac:dyDescent="0.25">
      <c r="A128" s="90"/>
      <c r="B128" s="104"/>
      <c r="C128" s="107"/>
      <c r="D128" s="107"/>
      <c r="E128" s="104"/>
      <c r="F128" s="104"/>
      <c r="G128" s="104"/>
      <c r="H128" s="100"/>
      <c r="I128" s="100"/>
      <c r="J128" s="93"/>
      <c r="K128" s="93"/>
      <c r="L128" s="100"/>
      <c r="M128" s="100"/>
      <c r="N128" s="100"/>
      <c r="O128" s="100"/>
      <c r="P128" s="100"/>
      <c r="Q128" s="100"/>
      <c r="R128" s="100"/>
      <c r="S128" s="100"/>
      <c r="T128" s="95" cm="1">
        <f t="array" ref="T128">SUM(G128:S128/2)</f>
        <v>0</v>
      </c>
      <c r="U128" s="108"/>
      <c r="V128" s="99">
        <f t="shared" si="2"/>
        <v>0</v>
      </c>
      <c r="W128" s="104"/>
      <c r="X128" s="108"/>
      <c r="Y128" s="101"/>
    </row>
    <row r="129" spans="1:25" s="26" customFormat="1" x14ac:dyDescent="0.25">
      <c r="A129" s="90">
        <v>1</v>
      </c>
      <c r="B129" s="104" t="s">
        <v>88</v>
      </c>
      <c r="C129" s="107" t="s">
        <v>285</v>
      </c>
      <c r="D129" s="107" t="s">
        <v>188</v>
      </c>
      <c r="E129" s="107" t="s">
        <v>44</v>
      </c>
      <c r="F129" s="107" t="s">
        <v>304</v>
      </c>
      <c r="G129" s="123">
        <v>916000</v>
      </c>
      <c r="H129" s="100">
        <v>922000</v>
      </c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95" cm="1">
        <f t="array" ref="T129">SUM(G129:S129/2)</f>
        <v>919000</v>
      </c>
      <c r="U129" s="98">
        <v>0</v>
      </c>
      <c r="V129" s="99">
        <f t="shared" si="2"/>
        <v>919000</v>
      </c>
      <c r="W129" s="100"/>
      <c r="X129" s="98"/>
      <c r="Y129" s="101"/>
    </row>
    <row r="130" spans="1:25" s="26" customFormat="1" x14ac:dyDescent="0.25">
      <c r="A130" s="90">
        <v>2</v>
      </c>
      <c r="B130" s="104" t="s">
        <v>343</v>
      </c>
      <c r="C130" s="107" t="s">
        <v>285</v>
      </c>
      <c r="D130" s="107" t="s">
        <v>188</v>
      </c>
      <c r="E130" s="107"/>
      <c r="F130" s="107" t="s">
        <v>304</v>
      </c>
      <c r="G130" s="123">
        <v>808000</v>
      </c>
      <c r="H130" s="123">
        <v>808000</v>
      </c>
      <c r="I130" s="100"/>
      <c r="J130" s="100"/>
      <c r="K130" s="93"/>
      <c r="L130" s="100"/>
      <c r="M130" s="100"/>
      <c r="N130" s="100"/>
      <c r="O130" s="100"/>
      <c r="P130" s="100"/>
      <c r="Q130" s="100"/>
      <c r="R130" s="100"/>
      <c r="S130" s="100"/>
      <c r="T130" s="95" cm="1">
        <f t="array" ref="T130">SUM(G130:S130/2)</f>
        <v>808000</v>
      </c>
      <c r="U130" s="98">
        <v>0</v>
      </c>
      <c r="V130" s="99">
        <f t="shared" si="2"/>
        <v>808000</v>
      </c>
      <c r="W130" s="100"/>
      <c r="X130" s="98"/>
      <c r="Y130" s="101"/>
    </row>
    <row r="131" spans="1:25" s="26" customFormat="1" x14ac:dyDescent="0.25">
      <c r="A131" s="90"/>
      <c r="B131" s="104"/>
      <c r="C131" s="107"/>
      <c r="D131" s="107"/>
      <c r="E131" s="104"/>
      <c r="F131" s="104"/>
      <c r="G131" s="104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95" cm="1">
        <f t="array" ref="T131">SUM(G131:S131/2)</f>
        <v>0</v>
      </c>
      <c r="U131" s="108"/>
      <c r="V131" s="99">
        <f t="shared" si="2"/>
        <v>0</v>
      </c>
      <c r="W131" s="104"/>
      <c r="X131" s="108"/>
      <c r="Y131" s="101"/>
    </row>
    <row r="132" spans="1:25" s="26" customFormat="1" x14ac:dyDescent="0.25">
      <c r="A132" s="90">
        <v>1</v>
      </c>
      <c r="B132" s="104" t="s">
        <v>155</v>
      </c>
      <c r="C132" s="107" t="s">
        <v>197</v>
      </c>
      <c r="D132" s="107" t="s">
        <v>189</v>
      </c>
      <c r="E132" s="107" t="s">
        <v>45</v>
      </c>
      <c r="F132" s="107" t="s">
        <v>315</v>
      </c>
      <c r="G132" s="123">
        <v>40000</v>
      </c>
      <c r="H132" s="109">
        <v>36000</v>
      </c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95" cm="1">
        <f t="array" ref="T132">SUM(G132:S132/2)</f>
        <v>38000</v>
      </c>
      <c r="U132" s="98">
        <v>0</v>
      </c>
      <c r="V132" s="99">
        <f t="shared" si="2"/>
        <v>38000</v>
      </c>
      <c r="W132" s="104"/>
      <c r="X132" s="108"/>
      <c r="Y132" s="101"/>
    </row>
    <row r="133" spans="1:25" s="26" customFormat="1" x14ac:dyDescent="0.25">
      <c r="A133" s="90">
        <v>2</v>
      </c>
      <c r="B133" s="104" t="s">
        <v>159</v>
      </c>
      <c r="C133" s="107" t="s">
        <v>198</v>
      </c>
      <c r="D133" s="107" t="s">
        <v>189</v>
      </c>
      <c r="E133" s="107" t="s">
        <v>44</v>
      </c>
      <c r="F133" s="107" t="s">
        <v>304</v>
      </c>
      <c r="G133" s="123">
        <v>87750</v>
      </c>
      <c r="H133" s="109">
        <v>97500</v>
      </c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95" cm="1">
        <f t="array" ref="T133">SUM(G133:S133/2)</f>
        <v>92625</v>
      </c>
      <c r="U133" s="98">
        <v>0</v>
      </c>
      <c r="V133" s="99">
        <f t="shared" si="2"/>
        <v>92625</v>
      </c>
      <c r="W133" s="104"/>
      <c r="X133" s="108"/>
      <c r="Y133" s="101"/>
    </row>
    <row r="134" spans="1:25" s="26" customFormat="1" x14ac:dyDescent="0.25">
      <c r="A134" s="90">
        <v>3</v>
      </c>
      <c r="B134" s="104" t="s">
        <v>253</v>
      </c>
      <c r="C134" s="107" t="s">
        <v>198</v>
      </c>
      <c r="D134" s="107" t="s">
        <v>189</v>
      </c>
      <c r="E134" s="107"/>
      <c r="F134" s="107" t="s">
        <v>304</v>
      </c>
      <c r="G134" s="123">
        <v>19500</v>
      </c>
      <c r="H134" s="109">
        <v>19500</v>
      </c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95" cm="1">
        <f t="array" ref="T134">SUM(G134:S134/2)</f>
        <v>19500</v>
      </c>
      <c r="U134" s="98">
        <v>0</v>
      </c>
      <c r="V134" s="99">
        <f t="shared" si="2"/>
        <v>19500</v>
      </c>
      <c r="W134" s="104"/>
      <c r="X134" s="108"/>
      <c r="Y134" s="101"/>
    </row>
    <row r="135" spans="1:25" s="26" customFormat="1" x14ac:dyDescent="0.25">
      <c r="A135" s="90">
        <v>4</v>
      </c>
      <c r="B135" s="104" t="s">
        <v>161</v>
      </c>
      <c r="C135" s="107" t="s">
        <v>199</v>
      </c>
      <c r="D135" s="107" t="s">
        <v>188</v>
      </c>
      <c r="E135" s="107" t="s">
        <v>115</v>
      </c>
      <c r="F135" s="107" t="s">
        <v>316</v>
      </c>
      <c r="G135" s="123">
        <v>10434</v>
      </c>
      <c r="H135" s="109">
        <v>10434</v>
      </c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95" cm="1">
        <f t="array" ref="T135">SUM(G135:S135/2)</f>
        <v>10434</v>
      </c>
      <c r="U135" s="98">
        <v>0</v>
      </c>
      <c r="V135" s="99">
        <f t="shared" si="2"/>
        <v>10434</v>
      </c>
      <c r="W135" s="104"/>
      <c r="X135" s="108"/>
      <c r="Y135" s="101"/>
    </row>
    <row r="136" spans="1:25" s="26" customFormat="1" x14ac:dyDescent="0.25">
      <c r="A136" s="90"/>
      <c r="B136" s="104"/>
      <c r="C136" s="107"/>
      <c r="D136" s="107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95" cm="1">
        <f t="array" ref="T136">SUM(G136:S136/2)</f>
        <v>0</v>
      </c>
      <c r="U136" s="108"/>
      <c r="V136" s="99">
        <f t="shared" si="2"/>
        <v>0</v>
      </c>
      <c r="W136" s="104"/>
      <c r="X136" s="108"/>
      <c r="Y136" s="101"/>
    </row>
    <row r="137" spans="1:25" s="26" customFormat="1" x14ac:dyDescent="0.25">
      <c r="A137" s="90">
        <v>1</v>
      </c>
      <c r="B137" s="104" t="s">
        <v>344</v>
      </c>
      <c r="C137" s="107" t="s">
        <v>347</v>
      </c>
      <c r="D137" s="107" t="s">
        <v>188</v>
      </c>
      <c r="E137" s="104"/>
      <c r="F137" s="107" t="s">
        <v>357</v>
      </c>
      <c r="G137" s="123">
        <v>115000</v>
      </c>
      <c r="H137" s="109">
        <v>115000</v>
      </c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4"/>
      <c r="T137" s="95" cm="1">
        <f t="array" ref="T137">SUM(G137:S137/2)</f>
        <v>115000</v>
      </c>
      <c r="U137" s="98">
        <v>0</v>
      </c>
      <c r="V137" s="99">
        <f t="shared" si="2"/>
        <v>115000</v>
      </c>
      <c r="W137" s="104"/>
      <c r="X137" s="108"/>
      <c r="Y137" s="101"/>
    </row>
    <row r="138" spans="1:25" s="26" customFormat="1" x14ac:dyDescent="0.25">
      <c r="A138" s="90">
        <v>2</v>
      </c>
      <c r="B138" s="104" t="s">
        <v>345</v>
      </c>
      <c r="C138" s="107" t="s">
        <v>347</v>
      </c>
      <c r="D138" s="107" t="s">
        <v>188</v>
      </c>
      <c r="E138" s="104"/>
      <c r="F138" s="107" t="s">
        <v>357</v>
      </c>
      <c r="G138" s="123">
        <v>70000</v>
      </c>
      <c r="H138" s="109">
        <v>70000</v>
      </c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95" cm="1">
        <f t="array" ref="T138">SUM(G138:S138/2)</f>
        <v>70000</v>
      </c>
      <c r="U138" s="98">
        <v>0</v>
      </c>
      <c r="V138" s="99">
        <f t="shared" si="2"/>
        <v>70000</v>
      </c>
      <c r="W138" s="104"/>
      <c r="X138" s="108"/>
      <c r="Y138" s="101"/>
    </row>
    <row r="139" spans="1:25" s="26" customFormat="1" x14ac:dyDescent="0.25">
      <c r="A139" s="90">
        <v>3</v>
      </c>
      <c r="B139" s="104" t="s">
        <v>346</v>
      </c>
      <c r="C139" s="107" t="s">
        <v>347</v>
      </c>
      <c r="D139" s="107" t="s">
        <v>188</v>
      </c>
      <c r="E139" s="104"/>
      <c r="F139" s="107" t="s">
        <v>357</v>
      </c>
      <c r="G139" s="123">
        <v>210000</v>
      </c>
      <c r="H139" s="109">
        <v>210000</v>
      </c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95" cm="1">
        <f t="array" ref="T139">SUM(G139:S139/2)</f>
        <v>210000</v>
      </c>
      <c r="U139" s="98">
        <v>0</v>
      </c>
      <c r="V139" s="99">
        <f t="shared" si="2"/>
        <v>210000</v>
      </c>
      <c r="W139" s="104"/>
      <c r="X139" s="108"/>
      <c r="Y139" s="101"/>
    </row>
    <row r="140" spans="1:25" x14ac:dyDescent="0.25">
      <c r="A140" s="75"/>
      <c r="B140" s="75"/>
      <c r="C140" s="78"/>
      <c r="D140" s="78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 spans="1:25" x14ac:dyDescent="0.25">
      <c r="A141" s="75"/>
      <c r="B141" s="75"/>
      <c r="C141" s="78"/>
      <c r="D141" s="78"/>
      <c r="E141" s="75"/>
      <c r="F141" s="75"/>
      <c r="G141" s="75"/>
      <c r="H141" s="143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 spans="1:25" x14ac:dyDescent="0.25">
      <c r="A142" s="75"/>
      <c r="B142" s="75"/>
      <c r="C142" s="78"/>
      <c r="D142" s="78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 spans="1:25" x14ac:dyDescent="0.25">
      <c r="A143" s="75"/>
      <c r="B143" s="75"/>
      <c r="C143" s="75" t="s">
        <v>387</v>
      </c>
      <c r="D143" s="75"/>
      <c r="E143" s="75"/>
      <c r="F143" s="75"/>
      <c r="G143" s="75"/>
      <c r="H143" s="75" t="s">
        <v>389</v>
      </c>
      <c r="I143" s="75"/>
      <c r="J143" s="75"/>
      <c r="K143" s="75"/>
      <c r="L143" s="75" t="s">
        <v>388</v>
      </c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 spans="1:25" x14ac:dyDescent="0.2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 spans="1:25" x14ac:dyDescent="0.2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 spans="1:25" x14ac:dyDescent="0.2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 spans="1:25" x14ac:dyDescent="0.25">
      <c r="A147" s="75"/>
      <c r="B147" s="75"/>
      <c r="C147" s="75" t="s">
        <v>390</v>
      </c>
      <c r="D147" s="75"/>
      <c r="E147" s="75"/>
      <c r="F147" s="75"/>
      <c r="G147" s="75"/>
      <c r="H147" s="75" t="s">
        <v>391</v>
      </c>
      <c r="I147" s="75"/>
      <c r="J147" s="75"/>
      <c r="K147" s="75"/>
      <c r="L147" s="75" t="s">
        <v>392</v>
      </c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</sheetData>
  <autoFilter ref="B2:B139"/>
  <mergeCells count="9">
    <mergeCell ref="W4:Y4"/>
    <mergeCell ref="D4:D6"/>
    <mergeCell ref="B4:B6"/>
    <mergeCell ref="A4:A6"/>
    <mergeCell ref="E4:E6"/>
    <mergeCell ref="H4:S4"/>
    <mergeCell ref="T4:V4"/>
    <mergeCell ref="C4:C6"/>
    <mergeCell ref="F4:F6"/>
  </mergeCells>
  <pageMargins left="0.4" right="0.7" top="0.75" bottom="0.75" header="0.3" footer="0.3"/>
  <pageSetup paperSize="9" scale="50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59"/>
  <sheetViews>
    <sheetView topLeftCell="A43" zoomScale="93" zoomScaleNormal="93" workbookViewId="0">
      <selection activeCell="B71" sqref="B71"/>
    </sheetView>
  </sheetViews>
  <sheetFormatPr defaultRowHeight="15" x14ac:dyDescent="0.25"/>
  <cols>
    <col min="1" max="1" width="5.7109375" style="1" customWidth="1"/>
    <col min="2" max="2" width="43.5703125" style="1" customWidth="1"/>
    <col min="3" max="3" width="21.140625" style="1" customWidth="1"/>
    <col min="4" max="4" width="16.140625" style="44" customWidth="1"/>
    <col min="5" max="5" width="14.5703125" style="44" customWidth="1"/>
    <col min="6" max="7" width="13.42578125" style="1" customWidth="1"/>
    <col min="8" max="8" width="12.5703125" style="1" customWidth="1"/>
    <col min="9" max="9" width="11.28515625" style="1" customWidth="1"/>
    <col min="10" max="10" width="11.5703125" style="1" customWidth="1"/>
    <col min="11" max="13" width="11.140625" style="1" customWidth="1"/>
    <col min="14" max="14" width="11.42578125" style="1" customWidth="1"/>
    <col min="15" max="18" width="12.28515625" style="1" customWidth="1"/>
    <col min="19" max="19" width="15.42578125" style="1" customWidth="1"/>
    <col min="20" max="20" width="10.28515625" style="1" customWidth="1"/>
    <col min="21" max="21" width="12" style="1" customWidth="1"/>
    <col min="22" max="22" width="15.42578125" style="1" customWidth="1"/>
    <col min="23" max="23" width="10.28515625" style="1" customWidth="1"/>
    <col min="24" max="24" width="12" style="1" customWidth="1"/>
    <col min="25" max="16384" width="9.140625" style="1"/>
  </cols>
  <sheetData>
    <row r="2" spans="1:24" ht="18.75" x14ac:dyDescent="0.3">
      <c r="B2" s="5" t="s">
        <v>235</v>
      </c>
      <c r="C2" s="5"/>
      <c r="D2" s="43"/>
      <c r="E2" s="43"/>
      <c r="F2" s="5"/>
    </row>
    <row r="3" spans="1:24" ht="15.75" thickBot="1" x14ac:dyDescent="0.3">
      <c r="T3" s="45" t="s">
        <v>402</v>
      </c>
      <c r="U3" s="61"/>
    </row>
    <row r="4" spans="1:24" ht="29.25" customHeight="1" thickBot="1" x14ac:dyDescent="0.3">
      <c r="A4" s="161" t="s">
        <v>0</v>
      </c>
      <c r="B4" s="161" t="s">
        <v>1</v>
      </c>
      <c r="C4" s="161" t="s">
        <v>175</v>
      </c>
      <c r="D4" s="164" t="s">
        <v>187</v>
      </c>
      <c r="E4" s="164" t="s">
        <v>41</v>
      </c>
      <c r="F4" s="110"/>
      <c r="G4" s="167" t="s">
        <v>171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58" t="s">
        <v>170</v>
      </c>
      <c r="T4" s="158"/>
      <c r="U4" s="159"/>
      <c r="V4" s="160" t="s">
        <v>179</v>
      </c>
      <c r="W4" s="158"/>
      <c r="X4" s="159"/>
    </row>
    <row r="5" spans="1:24" ht="15.75" customHeight="1" thickBot="1" x14ac:dyDescent="0.3">
      <c r="A5" s="162"/>
      <c r="B5" s="162"/>
      <c r="C5" s="162"/>
      <c r="D5" s="165"/>
      <c r="E5" s="165"/>
      <c r="F5" s="117"/>
      <c r="G5" s="118"/>
      <c r="H5" s="118"/>
      <c r="I5" s="118"/>
      <c r="J5" s="118"/>
      <c r="K5" s="19"/>
      <c r="L5" s="19"/>
      <c r="M5" s="19"/>
      <c r="N5" s="19"/>
      <c r="O5" s="19"/>
      <c r="P5" s="19"/>
      <c r="Q5" s="19"/>
      <c r="R5" s="19"/>
      <c r="S5" s="30"/>
      <c r="T5" s="20"/>
      <c r="U5" s="31"/>
      <c r="V5" s="30"/>
      <c r="W5" s="20"/>
      <c r="X5" s="31"/>
    </row>
    <row r="6" spans="1:24" ht="45.75" customHeight="1" thickBot="1" x14ac:dyDescent="0.3">
      <c r="A6" s="163"/>
      <c r="B6" s="163"/>
      <c r="C6" s="163"/>
      <c r="D6" s="166"/>
      <c r="E6" s="166"/>
      <c r="F6" s="113" t="s">
        <v>169</v>
      </c>
      <c r="G6" s="114" t="s">
        <v>80</v>
      </c>
      <c r="H6" s="115" t="s">
        <v>83</v>
      </c>
      <c r="I6" s="111" t="s">
        <v>145</v>
      </c>
      <c r="J6" s="116" t="s">
        <v>146</v>
      </c>
      <c r="K6" s="36" t="s">
        <v>147</v>
      </c>
      <c r="L6" s="36" t="s">
        <v>174</v>
      </c>
      <c r="M6" s="36" t="s">
        <v>148</v>
      </c>
      <c r="N6" s="36" t="s">
        <v>149</v>
      </c>
      <c r="O6" s="36" t="s">
        <v>162</v>
      </c>
      <c r="P6" s="41" t="s">
        <v>168</v>
      </c>
      <c r="Q6" s="41" t="s">
        <v>167</v>
      </c>
      <c r="R6" s="42" t="s">
        <v>169</v>
      </c>
      <c r="S6" s="34" t="s">
        <v>180</v>
      </c>
      <c r="T6" s="36" t="s">
        <v>172</v>
      </c>
      <c r="U6" s="37" t="s">
        <v>173</v>
      </c>
      <c r="V6" s="34" t="s">
        <v>180</v>
      </c>
      <c r="W6" s="36" t="s">
        <v>172</v>
      </c>
      <c r="X6" s="37" t="s">
        <v>173</v>
      </c>
    </row>
    <row r="7" spans="1:24" s="26" customFormat="1" ht="20.25" customHeight="1" x14ac:dyDescent="0.2">
      <c r="A7" s="21">
        <v>1</v>
      </c>
      <c r="B7" s="126" t="s">
        <v>236</v>
      </c>
      <c r="C7" s="92" t="s">
        <v>267</v>
      </c>
      <c r="D7" s="92" t="s">
        <v>188</v>
      </c>
      <c r="E7" s="92" t="s">
        <v>261</v>
      </c>
      <c r="F7" s="122">
        <v>1050</v>
      </c>
      <c r="G7" s="93">
        <v>1050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>
        <f>SUM(F7:R7)/2</f>
        <v>1050</v>
      </c>
      <c r="T7" s="35">
        <v>0</v>
      </c>
      <c r="U7" s="39">
        <f>T7+S7</f>
        <v>1050</v>
      </c>
      <c r="V7" s="23"/>
      <c r="W7" s="35"/>
      <c r="X7" s="39"/>
    </row>
    <row r="8" spans="1:24" s="26" customFormat="1" ht="20.25" customHeight="1" x14ac:dyDescent="0.2">
      <c r="A8" s="21">
        <v>2</v>
      </c>
      <c r="B8" s="126" t="s">
        <v>237</v>
      </c>
      <c r="C8" s="92" t="s">
        <v>260</v>
      </c>
      <c r="D8" s="92" t="s">
        <v>188</v>
      </c>
      <c r="E8" s="92" t="s">
        <v>261</v>
      </c>
      <c r="F8" s="122">
        <v>1500</v>
      </c>
      <c r="G8" s="95">
        <v>1500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>
        <f t="shared" ref="S8:S73" si="0">SUM(F8:R8)/2</f>
        <v>1500</v>
      </c>
      <c r="T8" s="32">
        <v>0</v>
      </c>
      <c r="U8" s="46">
        <f t="shared" ref="U8:U79" si="1">T8+S8</f>
        <v>1500</v>
      </c>
      <c r="V8" s="25"/>
      <c r="W8" s="32">
        <v>0</v>
      </c>
      <c r="X8" s="38"/>
    </row>
    <row r="9" spans="1:24" s="26" customFormat="1" ht="20.25" customHeight="1" x14ac:dyDescent="0.2">
      <c r="A9" s="21">
        <v>3</v>
      </c>
      <c r="B9" s="127" t="s">
        <v>52</v>
      </c>
      <c r="C9" s="92" t="s">
        <v>240</v>
      </c>
      <c r="D9" s="92" t="s">
        <v>189</v>
      </c>
      <c r="E9" s="92" t="s">
        <v>261</v>
      </c>
      <c r="F9" s="122">
        <v>3500</v>
      </c>
      <c r="G9" s="95">
        <v>3500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>
        <f t="shared" si="0"/>
        <v>3500</v>
      </c>
      <c r="T9" s="32">
        <v>0</v>
      </c>
      <c r="U9" s="46">
        <f t="shared" si="1"/>
        <v>3500</v>
      </c>
      <c r="V9" s="25"/>
      <c r="W9" s="32"/>
      <c r="X9" s="38"/>
    </row>
    <row r="10" spans="1:24" s="26" customFormat="1" ht="20.25" customHeight="1" x14ac:dyDescent="0.2">
      <c r="A10" s="21">
        <v>4</v>
      </c>
      <c r="B10" s="127" t="s">
        <v>26</v>
      </c>
      <c r="C10" s="92" t="s">
        <v>218</v>
      </c>
      <c r="D10" s="92" t="s">
        <v>188</v>
      </c>
      <c r="E10" s="92" t="s">
        <v>261</v>
      </c>
      <c r="F10" s="128">
        <v>10500</v>
      </c>
      <c r="G10" s="95">
        <v>10500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>
        <f t="shared" si="0"/>
        <v>10500</v>
      </c>
      <c r="T10" s="32">
        <v>0</v>
      </c>
      <c r="U10" s="46">
        <f t="shared" si="1"/>
        <v>10500</v>
      </c>
      <c r="V10" s="25"/>
      <c r="W10" s="32"/>
      <c r="X10" s="38"/>
    </row>
    <row r="11" spans="1:24" s="26" customFormat="1" ht="18.75" customHeight="1" x14ac:dyDescent="0.2">
      <c r="A11" s="21">
        <v>5</v>
      </c>
      <c r="B11" s="127" t="s">
        <v>160</v>
      </c>
      <c r="C11" s="92" t="s">
        <v>238</v>
      </c>
      <c r="D11" s="92" t="s">
        <v>239</v>
      </c>
      <c r="E11" s="92" t="s">
        <v>261</v>
      </c>
      <c r="F11" s="122">
        <v>740</v>
      </c>
      <c r="G11" s="100">
        <v>740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4">
        <f t="shared" si="0"/>
        <v>740</v>
      </c>
      <c r="T11" s="32">
        <v>0</v>
      </c>
      <c r="U11" s="46">
        <f t="shared" si="1"/>
        <v>740</v>
      </c>
      <c r="V11" s="25"/>
      <c r="W11" s="32"/>
      <c r="X11" s="38"/>
    </row>
    <row r="12" spans="1:24" s="26" customFormat="1" ht="18.75" customHeight="1" x14ac:dyDescent="0.2">
      <c r="A12" s="21">
        <v>6</v>
      </c>
      <c r="B12" s="127" t="s">
        <v>257</v>
      </c>
      <c r="C12" s="92" t="s">
        <v>258</v>
      </c>
      <c r="D12" s="92" t="s">
        <v>239</v>
      </c>
      <c r="E12" s="92" t="s">
        <v>261</v>
      </c>
      <c r="F12" s="122"/>
      <c r="G12" s="100">
        <v>2500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4">
        <f t="shared" si="0"/>
        <v>1250</v>
      </c>
      <c r="T12" s="32">
        <v>0</v>
      </c>
      <c r="U12" s="46">
        <f t="shared" si="1"/>
        <v>1250</v>
      </c>
      <c r="V12" s="25"/>
      <c r="W12" s="32"/>
      <c r="X12" s="38"/>
    </row>
    <row r="13" spans="1:24" s="26" customFormat="1" ht="18.75" customHeight="1" x14ac:dyDescent="0.2">
      <c r="A13" s="21">
        <v>7</v>
      </c>
      <c r="B13" s="127" t="s">
        <v>408</v>
      </c>
      <c r="C13" s="92" t="s">
        <v>256</v>
      </c>
      <c r="D13" s="92" t="s">
        <v>239</v>
      </c>
      <c r="E13" s="92" t="s">
        <v>410</v>
      </c>
      <c r="F13" s="122">
        <v>16500</v>
      </c>
      <c r="G13" s="100">
        <v>16500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4">
        <f t="shared" si="0"/>
        <v>16500</v>
      </c>
      <c r="T13" s="32">
        <v>0</v>
      </c>
      <c r="U13" s="46">
        <f t="shared" si="1"/>
        <v>16500</v>
      </c>
      <c r="V13" s="25"/>
      <c r="W13" s="32"/>
      <c r="X13" s="38"/>
    </row>
    <row r="14" spans="1:24" s="26" customFormat="1" ht="18.75" customHeight="1" x14ac:dyDescent="0.2">
      <c r="A14" s="21">
        <v>8</v>
      </c>
      <c r="B14" s="127" t="s">
        <v>409</v>
      </c>
      <c r="C14" s="92" t="s">
        <v>256</v>
      </c>
      <c r="D14" s="92" t="s">
        <v>239</v>
      </c>
      <c r="E14" s="92" t="s">
        <v>410</v>
      </c>
      <c r="F14" s="122">
        <v>32500</v>
      </c>
      <c r="G14" s="100">
        <v>32500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4">
        <f t="shared" si="0"/>
        <v>32500</v>
      </c>
      <c r="T14" s="32"/>
      <c r="U14" s="46"/>
      <c r="V14" s="25"/>
      <c r="W14" s="32"/>
      <c r="X14" s="38"/>
    </row>
    <row r="15" spans="1:24" s="26" customFormat="1" ht="18.75" customHeight="1" x14ac:dyDescent="0.2">
      <c r="A15" s="21">
        <v>9</v>
      </c>
      <c r="B15" s="127" t="s">
        <v>268</v>
      </c>
      <c r="C15" s="92" t="s">
        <v>256</v>
      </c>
      <c r="D15" s="92" t="s">
        <v>239</v>
      </c>
      <c r="E15" s="92" t="s">
        <v>261</v>
      </c>
      <c r="F15" s="122">
        <v>6500</v>
      </c>
      <c r="G15" s="100">
        <v>6500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4">
        <f t="shared" si="0"/>
        <v>6500</v>
      </c>
      <c r="T15" s="32">
        <v>0</v>
      </c>
      <c r="U15" s="46">
        <f t="shared" si="1"/>
        <v>6500</v>
      </c>
      <c r="V15" s="25"/>
      <c r="W15" s="32"/>
      <c r="X15" s="38"/>
    </row>
    <row r="16" spans="1:24" s="26" customFormat="1" ht="16.5" customHeight="1" x14ac:dyDescent="0.2">
      <c r="A16" s="21">
        <v>10</v>
      </c>
      <c r="B16" s="127" t="s">
        <v>54</v>
      </c>
      <c r="C16" s="92" t="s">
        <v>251</v>
      </c>
      <c r="D16" s="92" t="s">
        <v>189</v>
      </c>
      <c r="E16" s="92" t="s">
        <v>261</v>
      </c>
      <c r="F16" s="122">
        <v>92</v>
      </c>
      <c r="G16" s="100">
        <v>92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4">
        <f t="shared" si="0"/>
        <v>92</v>
      </c>
      <c r="T16" s="32">
        <v>0</v>
      </c>
      <c r="U16" s="46">
        <f t="shared" si="1"/>
        <v>92</v>
      </c>
      <c r="V16" s="25"/>
      <c r="W16" s="32"/>
      <c r="X16" s="38"/>
    </row>
    <row r="17" spans="1:24" s="26" customFormat="1" ht="18" customHeight="1" x14ac:dyDescent="0.2">
      <c r="A17" s="21">
        <v>11</v>
      </c>
      <c r="B17" s="129" t="s">
        <v>412</v>
      </c>
      <c r="C17" s="92" t="s">
        <v>246</v>
      </c>
      <c r="D17" s="92" t="s">
        <v>188</v>
      </c>
      <c r="E17" s="92" t="s">
        <v>261</v>
      </c>
      <c r="F17" s="122">
        <v>5150</v>
      </c>
      <c r="G17" s="100">
        <v>5250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4">
        <f t="shared" si="0"/>
        <v>5200</v>
      </c>
      <c r="T17" s="32">
        <v>0</v>
      </c>
      <c r="U17" s="46">
        <f t="shared" si="1"/>
        <v>5200</v>
      </c>
      <c r="V17" s="25"/>
      <c r="W17" s="32"/>
      <c r="X17" s="38"/>
    </row>
    <row r="18" spans="1:24" s="26" customFormat="1" ht="18" customHeight="1" x14ac:dyDescent="0.2">
      <c r="A18" s="21">
        <v>12</v>
      </c>
      <c r="B18" s="129" t="s">
        <v>413</v>
      </c>
      <c r="C18" s="92" t="s">
        <v>246</v>
      </c>
      <c r="D18" s="92" t="s">
        <v>188</v>
      </c>
      <c r="E18" s="92" t="s">
        <v>261</v>
      </c>
      <c r="F18" s="122">
        <v>5200</v>
      </c>
      <c r="G18" s="100">
        <v>5300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4">
        <f t="shared" si="0"/>
        <v>5250</v>
      </c>
      <c r="T18" s="32">
        <v>0</v>
      </c>
      <c r="U18" s="46">
        <f t="shared" si="1"/>
        <v>5250</v>
      </c>
      <c r="V18" s="25"/>
      <c r="W18" s="32"/>
      <c r="X18" s="38"/>
    </row>
    <row r="19" spans="1:24" s="26" customFormat="1" ht="16.5" customHeight="1" x14ac:dyDescent="0.2">
      <c r="A19" s="21">
        <v>13</v>
      </c>
      <c r="B19" s="129" t="s">
        <v>23</v>
      </c>
      <c r="C19" s="92" t="s">
        <v>246</v>
      </c>
      <c r="D19" s="92" t="s">
        <v>188</v>
      </c>
      <c r="E19" s="92" t="s">
        <v>261</v>
      </c>
      <c r="F19" s="122">
        <v>5200</v>
      </c>
      <c r="G19" s="100">
        <v>5300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4">
        <f t="shared" si="0"/>
        <v>5250</v>
      </c>
      <c r="T19" s="32">
        <v>0</v>
      </c>
      <c r="U19" s="46">
        <f t="shared" si="1"/>
        <v>5250</v>
      </c>
      <c r="V19" s="25"/>
      <c r="W19" s="32"/>
      <c r="X19" s="38"/>
    </row>
    <row r="20" spans="1:24" s="26" customFormat="1" ht="19.5" customHeight="1" x14ac:dyDescent="0.2">
      <c r="A20" s="21">
        <v>14</v>
      </c>
      <c r="B20" s="129" t="s">
        <v>24</v>
      </c>
      <c r="C20" s="92" t="s">
        <v>246</v>
      </c>
      <c r="D20" s="92" t="s">
        <v>188</v>
      </c>
      <c r="E20" s="92" t="s">
        <v>261</v>
      </c>
      <c r="F20" s="122">
        <v>13300</v>
      </c>
      <c r="G20" s="100">
        <v>13300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4">
        <f t="shared" si="0"/>
        <v>13300</v>
      </c>
      <c r="T20" s="32">
        <v>0</v>
      </c>
      <c r="U20" s="46">
        <f t="shared" si="1"/>
        <v>13300</v>
      </c>
      <c r="V20" s="25"/>
      <c r="W20" s="32"/>
      <c r="X20" s="38"/>
    </row>
    <row r="21" spans="1:24" s="26" customFormat="1" ht="19.5" customHeight="1" x14ac:dyDescent="0.2">
      <c r="A21" s="21">
        <v>15</v>
      </c>
      <c r="B21" s="129" t="s">
        <v>24</v>
      </c>
      <c r="C21" s="92" t="s">
        <v>260</v>
      </c>
      <c r="D21" s="92" t="s">
        <v>188</v>
      </c>
      <c r="E21" s="92" t="s">
        <v>261</v>
      </c>
      <c r="F21" s="122">
        <v>11000</v>
      </c>
      <c r="G21" s="100">
        <v>11000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4">
        <f t="shared" si="0"/>
        <v>11000</v>
      </c>
      <c r="T21" s="32"/>
      <c r="U21" s="46">
        <f t="shared" si="1"/>
        <v>11000</v>
      </c>
      <c r="V21" s="25"/>
      <c r="W21" s="32"/>
      <c r="X21" s="38"/>
    </row>
    <row r="22" spans="1:24" s="26" customFormat="1" ht="19.5" customHeight="1" x14ac:dyDescent="0.2">
      <c r="A22" s="21">
        <v>16</v>
      </c>
      <c r="B22" s="129" t="s">
        <v>25</v>
      </c>
      <c r="C22" s="92" t="s">
        <v>246</v>
      </c>
      <c r="D22" s="92" t="s">
        <v>188</v>
      </c>
      <c r="E22" s="92" t="s">
        <v>261</v>
      </c>
      <c r="F22" s="122">
        <v>14000</v>
      </c>
      <c r="G22" s="109">
        <v>13800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4">
        <f t="shared" si="0"/>
        <v>13900</v>
      </c>
      <c r="T22" s="32">
        <v>0</v>
      </c>
      <c r="U22" s="46">
        <f t="shared" si="1"/>
        <v>13900</v>
      </c>
      <c r="V22" s="25"/>
      <c r="W22" s="32"/>
      <c r="X22" s="38"/>
    </row>
    <row r="23" spans="1:24" s="26" customFormat="1" ht="19.5" customHeight="1" x14ac:dyDescent="0.2">
      <c r="A23" s="21">
        <v>17</v>
      </c>
      <c r="B23" s="129" t="s">
        <v>25</v>
      </c>
      <c r="C23" s="92" t="s">
        <v>260</v>
      </c>
      <c r="D23" s="92" t="s">
        <v>188</v>
      </c>
      <c r="E23" s="92" t="s">
        <v>261</v>
      </c>
      <c r="F23" s="122">
        <v>11000</v>
      </c>
      <c r="G23" s="109">
        <v>11000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4">
        <f t="shared" si="0"/>
        <v>11000</v>
      </c>
      <c r="T23" s="32"/>
      <c r="U23" s="46">
        <f t="shared" si="1"/>
        <v>11000</v>
      </c>
      <c r="V23" s="25"/>
      <c r="W23" s="32"/>
      <c r="X23" s="38"/>
    </row>
    <row r="24" spans="1:24" s="26" customFormat="1" ht="19.5" customHeight="1" x14ac:dyDescent="0.2">
      <c r="A24" s="21">
        <v>18</v>
      </c>
      <c r="B24" s="129" t="s">
        <v>107</v>
      </c>
      <c r="C24" s="92" t="s">
        <v>246</v>
      </c>
      <c r="D24" s="92" t="s">
        <v>188</v>
      </c>
      <c r="E24" s="92" t="s">
        <v>261</v>
      </c>
      <c r="F24" s="122">
        <v>14000</v>
      </c>
      <c r="G24" s="109">
        <v>13800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4">
        <f t="shared" si="0"/>
        <v>13900</v>
      </c>
      <c r="T24" s="32">
        <v>0</v>
      </c>
      <c r="U24" s="46">
        <f t="shared" si="1"/>
        <v>13900</v>
      </c>
      <c r="V24" s="25"/>
      <c r="W24" s="32"/>
      <c r="X24" s="38"/>
    </row>
    <row r="25" spans="1:24" s="26" customFormat="1" ht="19.5" customHeight="1" x14ac:dyDescent="0.2">
      <c r="A25" s="21">
        <v>19</v>
      </c>
      <c r="B25" s="129" t="s">
        <v>336</v>
      </c>
      <c r="C25" s="92" t="s">
        <v>240</v>
      </c>
      <c r="D25" s="92" t="s">
        <v>189</v>
      </c>
      <c r="E25" s="92" t="s">
        <v>261</v>
      </c>
      <c r="F25" s="122">
        <v>104</v>
      </c>
      <c r="G25" s="100">
        <v>104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4">
        <f t="shared" si="0"/>
        <v>104</v>
      </c>
      <c r="T25" s="32">
        <v>0</v>
      </c>
      <c r="U25" s="46">
        <f t="shared" si="1"/>
        <v>104</v>
      </c>
      <c r="V25" s="25"/>
      <c r="W25" s="32"/>
      <c r="X25" s="38"/>
    </row>
    <row r="26" spans="1:24" s="26" customFormat="1" ht="19.5" customHeight="1" x14ac:dyDescent="0.2">
      <c r="A26" s="21">
        <v>20</v>
      </c>
      <c r="B26" s="129" t="s">
        <v>337</v>
      </c>
      <c r="C26" s="92" t="s">
        <v>240</v>
      </c>
      <c r="D26" s="92" t="s">
        <v>189</v>
      </c>
      <c r="E26" s="92" t="s">
        <v>261</v>
      </c>
      <c r="F26" s="122">
        <v>45</v>
      </c>
      <c r="G26" s="100">
        <v>45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4">
        <f t="shared" si="0"/>
        <v>45</v>
      </c>
      <c r="T26" s="32">
        <v>0</v>
      </c>
      <c r="U26" s="46">
        <f t="shared" si="1"/>
        <v>45</v>
      </c>
      <c r="V26" s="25"/>
      <c r="W26" s="32"/>
      <c r="X26" s="38"/>
    </row>
    <row r="27" spans="1:24" s="26" customFormat="1" ht="19.5" customHeight="1" x14ac:dyDescent="0.2">
      <c r="A27" s="21">
        <v>21</v>
      </c>
      <c r="B27" s="129" t="s">
        <v>264</v>
      </c>
      <c r="C27" s="92" t="s">
        <v>240</v>
      </c>
      <c r="D27" s="92" t="s">
        <v>189</v>
      </c>
      <c r="E27" s="92" t="s">
        <v>261</v>
      </c>
      <c r="F27" s="122">
        <v>57</v>
      </c>
      <c r="G27" s="100">
        <v>57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4">
        <f t="shared" si="0"/>
        <v>57</v>
      </c>
      <c r="T27" s="32">
        <v>0</v>
      </c>
      <c r="U27" s="46">
        <f t="shared" si="1"/>
        <v>57</v>
      </c>
      <c r="V27" s="25"/>
      <c r="W27" s="32"/>
      <c r="X27" s="38"/>
    </row>
    <row r="28" spans="1:24" s="26" customFormat="1" ht="17.25" customHeight="1" x14ac:dyDescent="0.2">
      <c r="A28" s="21">
        <v>22</v>
      </c>
      <c r="B28" s="129" t="s">
        <v>338</v>
      </c>
      <c r="C28" s="92" t="s">
        <v>240</v>
      </c>
      <c r="D28" s="92" t="s">
        <v>239</v>
      </c>
      <c r="E28" s="92" t="s">
        <v>261</v>
      </c>
      <c r="F28" s="122">
        <v>49</v>
      </c>
      <c r="G28" s="100">
        <v>49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4">
        <f t="shared" si="0"/>
        <v>49</v>
      </c>
      <c r="T28" s="32">
        <v>0</v>
      </c>
      <c r="U28" s="46">
        <f t="shared" si="1"/>
        <v>49</v>
      </c>
      <c r="V28" s="25"/>
      <c r="W28" s="32"/>
      <c r="X28" s="38"/>
    </row>
    <row r="29" spans="1:24" s="26" customFormat="1" x14ac:dyDescent="0.2">
      <c r="A29" s="21">
        <v>23</v>
      </c>
      <c r="B29" s="129" t="s">
        <v>182</v>
      </c>
      <c r="C29" s="92" t="s">
        <v>240</v>
      </c>
      <c r="D29" s="92" t="s">
        <v>188</v>
      </c>
      <c r="E29" s="92" t="s">
        <v>261</v>
      </c>
      <c r="F29" s="122">
        <v>80</v>
      </c>
      <c r="G29" s="100">
        <v>80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4">
        <f t="shared" si="0"/>
        <v>80</v>
      </c>
      <c r="T29" s="32">
        <v>0</v>
      </c>
      <c r="U29" s="46">
        <f t="shared" si="1"/>
        <v>80</v>
      </c>
      <c r="V29" s="25"/>
      <c r="W29" s="32"/>
      <c r="X29" s="38"/>
    </row>
    <row r="30" spans="1:24" s="26" customFormat="1" x14ac:dyDescent="0.2">
      <c r="A30" s="21">
        <v>24</v>
      </c>
      <c r="B30" s="129" t="s">
        <v>242</v>
      </c>
      <c r="C30" s="92" t="s">
        <v>240</v>
      </c>
      <c r="D30" s="92" t="s">
        <v>189</v>
      </c>
      <c r="E30" s="92" t="s">
        <v>261</v>
      </c>
      <c r="F30" s="122">
        <v>68</v>
      </c>
      <c r="G30" s="100">
        <v>68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4">
        <f t="shared" si="0"/>
        <v>68</v>
      </c>
      <c r="T30" s="32">
        <v>0</v>
      </c>
      <c r="U30" s="46">
        <f t="shared" si="1"/>
        <v>68</v>
      </c>
      <c r="V30" s="25"/>
      <c r="W30" s="32"/>
      <c r="X30" s="38"/>
    </row>
    <row r="31" spans="1:24" s="26" customFormat="1" x14ac:dyDescent="0.2">
      <c r="A31" s="21">
        <v>25</v>
      </c>
      <c r="B31" s="129" t="s">
        <v>243</v>
      </c>
      <c r="C31" s="92" t="s">
        <v>240</v>
      </c>
      <c r="D31" s="92" t="s">
        <v>189</v>
      </c>
      <c r="E31" s="92" t="s">
        <v>261</v>
      </c>
      <c r="F31" s="122">
        <v>87</v>
      </c>
      <c r="G31" s="100">
        <v>87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4">
        <f t="shared" si="0"/>
        <v>87</v>
      </c>
      <c r="T31" s="32">
        <v>0</v>
      </c>
      <c r="U31" s="46">
        <f t="shared" si="1"/>
        <v>87</v>
      </c>
      <c r="V31" s="25"/>
      <c r="W31" s="32"/>
      <c r="X31" s="38"/>
    </row>
    <row r="32" spans="1:24" s="26" customFormat="1" x14ac:dyDescent="0.2">
      <c r="A32" s="21">
        <v>26</v>
      </c>
      <c r="B32" s="129" t="s">
        <v>244</v>
      </c>
      <c r="C32" s="92" t="s">
        <v>240</v>
      </c>
      <c r="D32" s="92" t="s">
        <v>189</v>
      </c>
      <c r="E32" s="92" t="s">
        <v>261</v>
      </c>
      <c r="F32" s="122">
        <v>104</v>
      </c>
      <c r="G32" s="100">
        <v>104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4">
        <f t="shared" si="0"/>
        <v>104</v>
      </c>
      <c r="T32" s="32">
        <v>0</v>
      </c>
      <c r="U32" s="46">
        <f t="shared" si="1"/>
        <v>104</v>
      </c>
      <c r="V32" s="25"/>
      <c r="W32" s="32"/>
      <c r="X32" s="38"/>
    </row>
    <row r="33" spans="1:24" s="26" customFormat="1" x14ac:dyDescent="0.2">
      <c r="A33" s="21">
        <v>27</v>
      </c>
      <c r="B33" s="129" t="s">
        <v>249</v>
      </c>
      <c r="C33" s="92" t="s">
        <v>240</v>
      </c>
      <c r="D33" s="92" t="s">
        <v>188</v>
      </c>
      <c r="E33" s="92" t="s">
        <v>261</v>
      </c>
      <c r="F33" s="122">
        <v>146</v>
      </c>
      <c r="G33" s="100">
        <v>146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4">
        <f t="shared" si="0"/>
        <v>146</v>
      </c>
      <c r="T33" s="32">
        <v>0</v>
      </c>
      <c r="U33" s="46">
        <f t="shared" si="1"/>
        <v>146</v>
      </c>
      <c r="V33" s="25"/>
      <c r="W33" s="32"/>
      <c r="X33" s="38"/>
    </row>
    <row r="34" spans="1:24" s="26" customFormat="1" x14ac:dyDescent="0.2">
      <c r="A34" s="21">
        <v>28</v>
      </c>
      <c r="B34" s="129" t="s">
        <v>250</v>
      </c>
      <c r="C34" s="92" t="s">
        <v>240</v>
      </c>
      <c r="D34" s="92" t="s">
        <v>188</v>
      </c>
      <c r="E34" s="92" t="s">
        <v>261</v>
      </c>
      <c r="F34" s="122">
        <v>304</v>
      </c>
      <c r="G34" s="100">
        <v>304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4">
        <f t="shared" si="0"/>
        <v>304</v>
      </c>
      <c r="T34" s="32">
        <v>0</v>
      </c>
      <c r="U34" s="46">
        <f t="shared" si="1"/>
        <v>304</v>
      </c>
      <c r="V34" s="25"/>
      <c r="W34" s="32"/>
      <c r="X34" s="38"/>
    </row>
    <row r="35" spans="1:24" s="26" customFormat="1" x14ac:dyDescent="0.2">
      <c r="A35" s="21">
        <v>29</v>
      </c>
      <c r="B35" s="129" t="s">
        <v>55</v>
      </c>
      <c r="C35" s="92" t="s">
        <v>240</v>
      </c>
      <c r="D35" s="92" t="s">
        <v>189</v>
      </c>
      <c r="E35" s="92" t="s">
        <v>261</v>
      </c>
      <c r="F35" s="122">
        <v>60</v>
      </c>
      <c r="G35" s="100">
        <v>60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4">
        <f t="shared" si="0"/>
        <v>60</v>
      </c>
      <c r="T35" s="32">
        <v>0</v>
      </c>
      <c r="U35" s="46">
        <f t="shared" si="1"/>
        <v>60</v>
      </c>
      <c r="V35" s="25"/>
      <c r="W35" s="32"/>
      <c r="X35" s="38"/>
    </row>
    <row r="36" spans="1:24" s="26" customFormat="1" x14ac:dyDescent="0.2">
      <c r="A36" s="21">
        <v>30</v>
      </c>
      <c r="B36" s="129" t="s">
        <v>56</v>
      </c>
      <c r="C36" s="92" t="s">
        <v>240</v>
      </c>
      <c r="D36" s="92" t="s">
        <v>189</v>
      </c>
      <c r="E36" s="92" t="s">
        <v>261</v>
      </c>
      <c r="F36" s="122">
        <v>500</v>
      </c>
      <c r="G36" s="100">
        <v>500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4">
        <f t="shared" si="0"/>
        <v>500</v>
      </c>
      <c r="T36" s="32">
        <v>0</v>
      </c>
      <c r="U36" s="46">
        <f t="shared" si="1"/>
        <v>500</v>
      </c>
      <c r="V36" s="25"/>
      <c r="W36" s="32"/>
      <c r="X36" s="38"/>
    </row>
    <row r="37" spans="1:24" s="26" customFormat="1" x14ac:dyDescent="0.2">
      <c r="A37" s="21">
        <v>31</v>
      </c>
      <c r="B37" s="129" t="s">
        <v>151</v>
      </c>
      <c r="C37" s="92" t="s">
        <v>267</v>
      </c>
      <c r="D37" s="92" t="s">
        <v>188</v>
      </c>
      <c r="E37" s="92" t="s">
        <v>261</v>
      </c>
      <c r="F37" s="122"/>
      <c r="G37" s="100">
        <v>27500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4">
        <f t="shared" si="0"/>
        <v>13750</v>
      </c>
      <c r="T37" s="32">
        <v>0</v>
      </c>
      <c r="U37" s="46">
        <f t="shared" si="1"/>
        <v>13750</v>
      </c>
      <c r="V37" s="25"/>
      <c r="W37" s="32"/>
      <c r="X37" s="38"/>
    </row>
    <row r="38" spans="1:24" s="26" customFormat="1" x14ac:dyDescent="0.2">
      <c r="A38" s="21">
        <v>32</v>
      </c>
      <c r="B38" s="129" t="s">
        <v>283</v>
      </c>
      <c r="C38" s="92" t="s">
        <v>267</v>
      </c>
      <c r="D38" s="122" t="s">
        <v>188</v>
      </c>
      <c r="E38" s="122" t="s">
        <v>318</v>
      </c>
      <c r="F38" s="122">
        <v>24000</v>
      </c>
      <c r="G38" s="100">
        <v>24000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4">
        <f t="shared" si="0"/>
        <v>24000</v>
      </c>
      <c r="T38" s="32">
        <v>0</v>
      </c>
      <c r="U38" s="46">
        <f t="shared" si="1"/>
        <v>24000</v>
      </c>
      <c r="V38" s="25"/>
      <c r="W38" s="32"/>
      <c r="X38" s="38"/>
    </row>
    <row r="39" spans="1:24" s="26" customFormat="1" x14ac:dyDescent="0.2">
      <c r="A39" s="21">
        <v>33</v>
      </c>
      <c r="B39" s="129" t="s">
        <v>134</v>
      </c>
      <c r="C39" s="92" t="s">
        <v>240</v>
      </c>
      <c r="D39" s="92" t="s">
        <v>188</v>
      </c>
      <c r="E39" s="92" t="s">
        <v>261</v>
      </c>
      <c r="F39" s="122">
        <v>2250</v>
      </c>
      <c r="G39" s="100">
        <v>2250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4">
        <f t="shared" si="0"/>
        <v>2250</v>
      </c>
      <c r="T39" s="32">
        <v>0</v>
      </c>
      <c r="U39" s="46">
        <f t="shared" si="1"/>
        <v>2250</v>
      </c>
      <c r="V39" s="25"/>
      <c r="W39" s="32"/>
      <c r="X39" s="38"/>
    </row>
    <row r="40" spans="1:24" s="26" customFormat="1" x14ac:dyDescent="0.2">
      <c r="A40" s="21">
        <v>34</v>
      </c>
      <c r="B40" s="129" t="s">
        <v>275</v>
      </c>
      <c r="C40" s="92" t="s">
        <v>276</v>
      </c>
      <c r="D40" s="92" t="s">
        <v>189</v>
      </c>
      <c r="E40" s="92" t="s">
        <v>304</v>
      </c>
      <c r="F40" s="122">
        <v>34500</v>
      </c>
      <c r="G40" s="100">
        <v>34500</v>
      </c>
      <c r="H40" s="25"/>
      <c r="I40" s="25"/>
      <c r="J40" s="25"/>
      <c r="K40" s="25"/>
      <c r="L40" s="25"/>
      <c r="M40" s="25"/>
      <c r="N40" s="24"/>
      <c r="O40" s="24"/>
      <c r="P40" s="24"/>
      <c r="Q40" s="24"/>
      <c r="R40" s="24"/>
      <c r="S40" s="24">
        <f t="shared" si="0"/>
        <v>34500</v>
      </c>
      <c r="T40" s="32">
        <v>0</v>
      </c>
      <c r="U40" s="46">
        <f t="shared" si="1"/>
        <v>34500</v>
      </c>
      <c r="V40" s="25"/>
      <c r="W40" s="32"/>
      <c r="X40" s="38"/>
    </row>
    <row r="41" spans="1:24" s="26" customFormat="1" x14ac:dyDescent="0.2">
      <c r="A41" s="21">
        <v>35</v>
      </c>
      <c r="B41" s="129" t="s">
        <v>353</v>
      </c>
      <c r="C41" s="92" t="s">
        <v>256</v>
      </c>
      <c r="D41" s="92" t="s">
        <v>189</v>
      </c>
      <c r="E41" s="92" t="s">
        <v>315</v>
      </c>
      <c r="F41" s="122"/>
      <c r="G41" s="100"/>
      <c r="H41" s="25"/>
      <c r="I41" s="25"/>
      <c r="J41" s="25"/>
      <c r="K41" s="25"/>
      <c r="L41" s="25"/>
      <c r="M41" s="25"/>
      <c r="N41" s="24"/>
      <c r="O41" s="24"/>
      <c r="P41" s="24"/>
      <c r="Q41" s="24"/>
      <c r="R41" s="25"/>
      <c r="S41" s="24">
        <f t="shared" si="0"/>
        <v>0</v>
      </c>
      <c r="T41" s="32">
        <v>0</v>
      </c>
      <c r="U41" s="46">
        <f t="shared" si="1"/>
        <v>0</v>
      </c>
      <c r="V41" s="25"/>
      <c r="W41" s="32"/>
      <c r="X41" s="38"/>
    </row>
    <row r="42" spans="1:24" s="26" customFormat="1" x14ac:dyDescent="0.2">
      <c r="A42" s="21">
        <v>36</v>
      </c>
      <c r="B42" s="129" t="s">
        <v>354</v>
      </c>
      <c r="C42" s="92" t="s">
        <v>256</v>
      </c>
      <c r="D42" s="92" t="s">
        <v>189</v>
      </c>
      <c r="E42" s="92" t="s">
        <v>315</v>
      </c>
      <c r="F42" s="122"/>
      <c r="G42" s="122"/>
      <c r="H42" s="25"/>
      <c r="I42" s="25"/>
      <c r="J42" s="25"/>
      <c r="K42" s="25"/>
      <c r="L42" s="25"/>
      <c r="M42" s="25"/>
      <c r="N42" s="24"/>
      <c r="O42" s="24"/>
      <c r="P42" s="24"/>
      <c r="Q42" s="24"/>
      <c r="R42" s="25"/>
      <c r="S42" s="24">
        <f t="shared" si="0"/>
        <v>0</v>
      </c>
      <c r="T42" s="32">
        <v>0</v>
      </c>
      <c r="U42" s="46">
        <f t="shared" si="1"/>
        <v>0</v>
      </c>
      <c r="V42" s="25"/>
      <c r="W42" s="32"/>
      <c r="X42" s="38"/>
    </row>
    <row r="43" spans="1:24" s="26" customFormat="1" x14ac:dyDescent="0.2">
      <c r="A43" s="21">
        <v>37</v>
      </c>
      <c r="B43" s="129" t="s">
        <v>355</v>
      </c>
      <c r="C43" s="92" t="s">
        <v>256</v>
      </c>
      <c r="D43" s="92" t="s">
        <v>189</v>
      </c>
      <c r="E43" s="92" t="s">
        <v>315</v>
      </c>
      <c r="F43" s="122"/>
      <c r="G43" s="100"/>
      <c r="H43" s="25"/>
      <c r="I43" s="25"/>
      <c r="J43" s="25"/>
      <c r="K43" s="25"/>
      <c r="L43" s="25"/>
      <c r="M43" s="25"/>
      <c r="N43" s="24"/>
      <c r="O43" s="24"/>
      <c r="P43" s="24"/>
      <c r="Q43" s="24"/>
      <c r="R43" s="25"/>
      <c r="S43" s="24">
        <f t="shared" si="0"/>
        <v>0</v>
      </c>
      <c r="T43" s="32">
        <v>0</v>
      </c>
      <c r="U43" s="46">
        <f t="shared" si="1"/>
        <v>0</v>
      </c>
      <c r="V43" s="25"/>
      <c r="W43" s="32"/>
      <c r="X43" s="38"/>
    </row>
    <row r="44" spans="1:24" s="26" customFormat="1" x14ac:dyDescent="0.2">
      <c r="A44" s="21">
        <v>38</v>
      </c>
      <c r="B44" s="129" t="s">
        <v>30</v>
      </c>
      <c r="C44" s="92" t="s">
        <v>260</v>
      </c>
      <c r="D44" s="92" t="s">
        <v>188</v>
      </c>
      <c r="E44" s="92" t="s">
        <v>261</v>
      </c>
      <c r="F44" s="122">
        <v>6500</v>
      </c>
      <c r="G44" s="100">
        <v>6500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4">
        <f t="shared" si="0"/>
        <v>6500</v>
      </c>
      <c r="T44" s="32">
        <v>0</v>
      </c>
      <c r="U44" s="46">
        <f t="shared" si="1"/>
        <v>6500</v>
      </c>
      <c r="V44" s="25"/>
      <c r="W44" s="32"/>
      <c r="X44" s="38"/>
    </row>
    <row r="45" spans="1:24" s="26" customFormat="1" x14ac:dyDescent="0.2">
      <c r="A45" s="21">
        <v>39</v>
      </c>
      <c r="B45" s="129" t="s">
        <v>278</v>
      </c>
      <c r="C45" s="92" t="s">
        <v>260</v>
      </c>
      <c r="D45" s="92" t="s">
        <v>188</v>
      </c>
      <c r="E45" s="92" t="s">
        <v>261</v>
      </c>
      <c r="F45" s="122"/>
      <c r="G45" s="100">
        <v>9500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4">
        <f t="shared" si="0"/>
        <v>4750</v>
      </c>
      <c r="T45" s="32">
        <v>0</v>
      </c>
      <c r="U45" s="46">
        <f t="shared" si="1"/>
        <v>4750</v>
      </c>
      <c r="V45" s="25"/>
      <c r="W45" s="32"/>
      <c r="X45" s="38"/>
    </row>
    <row r="46" spans="1:24" s="26" customFormat="1" x14ac:dyDescent="0.2">
      <c r="A46" s="21">
        <v>40</v>
      </c>
      <c r="B46" s="129" t="s">
        <v>53</v>
      </c>
      <c r="C46" s="92" t="s">
        <v>272</v>
      </c>
      <c r="D46" s="92" t="s">
        <v>188</v>
      </c>
      <c r="E46" s="92" t="s">
        <v>261</v>
      </c>
      <c r="F46" s="122">
        <v>300</v>
      </c>
      <c r="G46" s="100">
        <v>300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4">
        <f t="shared" si="0"/>
        <v>300</v>
      </c>
      <c r="T46" s="32">
        <v>0</v>
      </c>
      <c r="U46" s="46">
        <f t="shared" si="1"/>
        <v>300</v>
      </c>
      <c r="V46" s="25"/>
      <c r="W46" s="32"/>
      <c r="X46" s="38"/>
    </row>
    <row r="47" spans="1:24" s="26" customFormat="1" x14ac:dyDescent="0.2">
      <c r="A47" s="21">
        <v>41</v>
      </c>
      <c r="B47" s="129" t="s">
        <v>53</v>
      </c>
      <c r="C47" s="92" t="s">
        <v>406</v>
      </c>
      <c r="D47" s="92" t="s">
        <v>189</v>
      </c>
      <c r="E47" s="92" t="s">
        <v>261</v>
      </c>
      <c r="F47" s="122">
        <v>185</v>
      </c>
      <c r="G47" s="100">
        <v>185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4">
        <f t="shared" si="0"/>
        <v>185</v>
      </c>
      <c r="T47" s="32"/>
      <c r="U47" s="46"/>
      <c r="V47" s="25"/>
      <c r="W47" s="32"/>
      <c r="X47" s="38"/>
    </row>
    <row r="48" spans="1:24" s="26" customFormat="1" x14ac:dyDescent="0.2">
      <c r="A48" s="21">
        <v>42</v>
      </c>
      <c r="B48" s="126" t="s">
        <v>263</v>
      </c>
      <c r="C48" s="92" t="s">
        <v>256</v>
      </c>
      <c r="D48" s="92" t="s">
        <v>189</v>
      </c>
      <c r="E48" s="92" t="s">
        <v>315</v>
      </c>
      <c r="F48" s="122"/>
      <c r="G48" s="100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4">
        <f t="shared" si="0"/>
        <v>0</v>
      </c>
      <c r="T48" s="32">
        <v>0</v>
      </c>
      <c r="U48" s="46">
        <f t="shared" si="1"/>
        <v>0</v>
      </c>
      <c r="V48" s="25"/>
      <c r="W48" s="32"/>
      <c r="X48" s="38"/>
    </row>
    <row r="49" spans="1:24" s="26" customFormat="1" x14ac:dyDescent="0.2">
      <c r="A49" s="21">
        <v>43</v>
      </c>
      <c r="B49" s="126" t="s">
        <v>269</v>
      </c>
      <c r="C49" s="92" t="s">
        <v>256</v>
      </c>
      <c r="D49" s="92" t="s">
        <v>189</v>
      </c>
      <c r="E49" s="92" t="s">
        <v>315</v>
      </c>
      <c r="F49" s="122">
        <v>7000</v>
      </c>
      <c r="G49" s="100">
        <v>7000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4">
        <f t="shared" si="0"/>
        <v>7000</v>
      </c>
      <c r="T49" s="32">
        <v>0</v>
      </c>
      <c r="U49" s="46">
        <f t="shared" si="1"/>
        <v>7000</v>
      </c>
      <c r="V49" s="25"/>
      <c r="W49" s="32"/>
      <c r="X49" s="38"/>
    </row>
    <row r="50" spans="1:24" s="26" customFormat="1" x14ac:dyDescent="0.2">
      <c r="A50" s="21">
        <v>44</v>
      </c>
      <c r="B50" s="126" t="s">
        <v>352</v>
      </c>
      <c r="C50" s="92" t="s">
        <v>256</v>
      </c>
      <c r="D50" s="92" t="s">
        <v>189</v>
      </c>
      <c r="E50" s="92" t="s">
        <v>315</v>
      </c>
      <c r="F50" s="122"/>
      <c r="G50" s="100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4">
        <f t="shared" si="0"/>
        <v>0</v>
      </c>
      <c r="T50" s="32"/>
      <c r="U50" s="46">
        <f t="shared" si="1"/>
        <v>0</v>
      </c>
      <c r="V50" s="25"/>
      <c r="W50" s="32"/>
      <c r="X50" s="38"/>
    </row>
    <row r="51" spans="1:24" s="26" customFormat="1" x14ac:dyDescent="0.2">
      <c r="A51" s="21">
        <v>45</v>
      </c>
      <c r="B51" s="126" t="s">
        <v>184</v>
      </c>
      <c r="C51" s="92" t="s">
        <v>260</v>
      </c>
      <c r="D51" s="92" t="s">
        <v>188</v>
      </c>
      <c r="E51" s="92" t="s">
        <v>319</v>
      </c>
      <c r="F51" s="122">
        <v>772000</v>
      </c>
      <c r="G51" s="100">
        <v>772000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4">
        <f t="shared" si="0"/>
        <v>772000</v>
      </c>
      <c r="T51" s="32">
        <v>0</v>
      </c>
      <c r="U51" s="46">
        <f t="shared" si="1"/>
        <v>772000</v>
      </c>
      <c r="V51" s="25"/>
      <c r="W51" s="32"/>
      <c r="X51" s="38"/>
    </row>
    <row r="52" spans="1:24" s="26" customFormat="1" x14ac:dyDescent="0.2">
      <c r="A52" s="21">
        <v>46</v>
      </c>
      <c r="B52" s="127" t="s">
        <v>411</v>
      </c>
      <c r="C52" s="92" t="s">
        <v>262</v>
      </c>
      <c r="D52" s="92" t="s">
        <v>188</v>
      </c>
      <c r="E52" s="92" t="s">
        <v>115</v>
      </c>
      <c r="F52" s="130">
        <v>15817.5</v>
      </c>
      <c r="G52" s="125">
        <v>15817.5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24">
        <f t="shared" si="0"/>
        <v>15817.5</v>
      </c>
      <c r="T52" s="32">
        <v>0</v>
      </c>
      <c r="U52" s="46">
        <f t="shared" si="1"/>
        <v>15817.5</v>
      </c>
      <c r="V52" s="25"/>
      <c r="W52" s="32"/>
      <c r="X52" s="38"/>
    </row>
    <row r="53" spans="1:24" s="26" customFormat="1" x14ac:dyDescent="0.2">
      <c r="A53" s="21"/>
      <c r="B53" s="127" t="s">
        <v>429</v>
      </c>
      <c r="C53" s="92"/>
      <c r="D53" s="92"/>
      <c r="E53" s="92"/>
      <c r="F53" s="130"/>
      <c r="G53" s="125">
        <v>15700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24"/>
      <c r="T53" s="32"/>
      <c r="U53" s="46"/>
      <c r="V53" s="25"/>
      <c r="W53" s="32"/>
      <c r="X53" s="38"/>
    </row>
    <row r="54" spans="1:24" s="26" customFormat="1" x14ac:dyDescent="0.2">
      <c r="A54" s="21">
        <v>47</v>
      </c>
      <c r="B54" s="127" t="s">
        <v>108</v>
      </c>
      <c r="C54" s="92" t="s">
        <v>277</v>
      </c>
      <c r="D54" s="92" t="s">
        <v>188</v>
      </c>
      <c r="E54" s="92" t="s">
        <v>316</v>
      </c>
      <c r="F54" s="122"/>
      <c r="G54" s="100">
        <v>84360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4">
        <f t="shared" si="0"/>
        <v>42180</v>
      </c>
      <c r="T54" s="32">
        <v>0</v>
      </c>
      <c r="U54" s="46">
        <f t="shared" si="1"/>
        <v>42180</v>
      </c>
      <c r="V54" s="25"/>
      <c r="W54" s="32"/>
      <c r="X54" s="38"/>
    </row>
    <row r="55" spans="1:24" s="26" customFormat="1" x14ac:dyDescent="0.2">
      <c r="A55" s="21">
        <v>48</v>
      </c>
      <c r="B55" s="127" t="s">
        <v>416</v>
      </c>
      <c r="C55" s="92" t="s">
        <v>417</v>
      </c>
      <c r="D55" s="92" t="s">
        <v>188</v>
      </c>
      <c r="E55" s="92" t="s">
        <v>316</v>
      </c>
      <c r="F55" s="122"/>
      <c r="G55" s="100">
        <v>177045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4">
        <f t="shared" si="0"/>
        <v>88522.5</v>
      </c>
      <c r="T55" s="32"/>
      <c r="U55" s="46"/>
      <c r="V55" s="25"/>
      <c r="W55" s="32"/>
      <c r="X55" s="38"/>
    </row>
    <row r="56" spans="1:24" s="26" customFormat="1" x14ac:dyDescent="0.2">
      <c r="A56" s="21">
        <v>49</v>
      </c>
      <c r="B56" s="127" t="s">
        <v>416</v>
      </c>
      <c r="C56" s="92" t="s">
        <v>421</v>
      </c>
      <c r="D56" s="92" t="s">
        <v>188</v>
      </c>
      <c r="E56" s="92" t="s">
        <v>316</v>
      </c>
      <c r="F56" s="122">
        <v>169823</v>
      </c>
      <c r="G56" s="100">
        <v>169823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4">
        <f t="shared" si="0"/>
        <v>169823</v>
      </c>
      <c r="T56" s="32"/>
      <c r="U56" s="46"/>
      <c r="V56" s="25"/>
      <c r="W56" s="32"/>
      <c r="X56" s="38"/>
    </row>
    <row r="57" spans="1:24" s="26" customFormat="1" x14ac:dyDescent="0.2">
      <c r="A57" s="21">
        <v>50</v>
      </c>
      <c r="B57" s="127" t="s">
        <v>419</v>
      </c>
      <c r="C57" s="92" t="s">
        <v>277</v>
      </c>
      <c r="D57" s="92" t="s">
        <v>188</v>
      </c>
      <c r="E57" s="92" t="s">
        <v>316</v>
      </c>
      <c r="F57" s="122">
        <v>35520</v>
      </c>
      <c r="G57" s="100">
        <v>35520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4">
        <f t="shared" si="0"/>
        <v>35520</v>
      </c>
      <c r="T57" s="32">
        <v>0</v>
      </c>
      <c r="U57" s="46">
        <f t="shared" si="1"/>
        <v>35520</v>
      </c>
      <c r="V57" s="25"/>
      <c r="W57" s="32"/>
      <c r="X57" s="38"/>
    </row>
    <row r="58" spans="1:24" s="26" customFormat="1" x14ac:dyDescent="0.2">
      <c r="A58" s="21">
        <v>51</v>
      </c>
      <c r="B58" s="127" t="s">
        <v>287</v>
      </c>
      <c r="C58" s="92" t="s">
        <v>245</v>
      </c>
      <c r="D58" s="92" t="s">
        <v>189</v>
      </c>
      <c r="E58" s="92" t="s">
        <v>320</v>
      </c>
      <c r="F58" s="122">
        <v>4400</v>
      </c>
      <c r="G58" s="100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4">
        <f t="shared" si="0"/>
        <v>2200</v>
      </c>
      <c r="T58" s="32">
        <v>0</v>
      </c>
      <c r="U58" s="46">
        <f t="shared" si="1"/>
        <v>2200</v>
      </c>
      <c r="V58" s="25"/>
      <c r="W58" s="32"/>
      <c r="X58" s="38"/>
    </row>
    <row r="59" spans="1:24" s="26" customFormat="1" x14ac:dyDescent="0.2">
      <c r="A59" s="21">
        <v>52</v>
      </c>
      <c r="B59" s="127" t="s">
        <v>415</v>
      </c>
      <c r="C59" s="92" t="s">
        <v>245</v>
      </c>
      <c r="D59" s="92" t="s">
        <v>189</v>
      </c>
      <c r="E59" s="92" t="s">
        <v>320</v>
      </c>
      <c r="F59" s="122"/>
      <c r="G59" s="100">
        <v>4800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4">
        <f t="shared" si="0"/>
        <v>2400</v>
      </c>
      <c r="T59" s="32"/>
      <c r="U59" s="46"/>
      <c r="V59" s="25"/>
      <c r="W59" s="32"/>
      <c r="X59" s="38"/>
    </row>
    <row r="60" spans="1:24" s="26" customFormat="1" x14ac:dyDescent="0.2">
      <c r="A60" s="21">
        <v>53</v>
      </c>
      <c r="B60" s="127" t="s">
        <v>247</v>
      </c>
      <c r="C60" s="92" t="s">
        <v>246</v>
      </c>
      <c r="D60" s="92" t="s">
        <v>188</v>
      </c>
      <c r="E60" s="92" t="s">
        <v>320</v>
      </c>
      <c r="F60" s="122"/>
      <c r="G60" s="100">
        <v>30000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4">
        <f t="shared" si="0"/>
        <v>15000</v>
      </c>
      <c r="T60" s="32">
        <v>0</v>
      </c>
      <c r="U60" s="46">
        <f t="shared" si="1"/>
        <v>15000</v>
      </c>
      <c r="V60" s="25"/>
      <c r="W60" s="32"/>
      <c r="X60" s="38"/>
    </row>
    <row r="61" spans="1:24" s="26" customFormat="1" x14ac:dyDescent="0.2">
      <c r="A61" s="21">
        <v>54</v>
      </c>
      <c r="B61" s="127" t="s">
        <v>153</v>
      </c>
      <c r="C61" s="92" t="s">
        <v>295</v>
      </c>
      <c r="D61" s="92" t="s">
        <v>188</v>
      </c>
      <c r="E61" s="92" t="s">
        <v>320</v>
      </c>
      <c r="F61" s="122"/>
      <c r="G61" s="100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4">
        <f t="shared" si="0"/>
        <v>0</v>
      </c>
      <c r="T61" s="32">
        <v>0</v>
      </c>
      <c r="U61" s="46">
        <f t="shared" si="1"/>
        <v>0</v>
      </c>
      <c r="V61" s="25"/>
      <c r="W61" s="32"/>
      <c r="X61" s="38"/>
    </row>
    <row r="62" spans="1:24" s="26" customFormat="1" x14ac:dyDescent="0.2">
      <c r="A62" s="21">
        <v>55</v>
      </c>
      <c r="B62" s="127" t="s">
        <v>114</v>
      </c>
      <c r="C62" s="92" t="s">
        <v>248</v>
      </c>
      <c r="D62" s="92" t="s">
        <v>188</v>
      </c>
      <c r="E62" s="92" t="s">
        <v>321</v>
      </c>
      <c r="F62" s="122">
        <v>20500</v>
      </c>
      <c r="G62" s="100">
        <v>20500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4">
        <f t="shared" si="0"/>
        <v>20500</v>
      </c>
      <c r="T62" s="32">
        <v>0</v>
      </c>
      <c r="U62" s="46">
        <f t="shared" si="1"/>
        <v>20500</v>
      </c>
      <c r="V62" s="25"/>
      <c r="W62" s="32"/>
      <c r="X62" s="38"/>
    </row>
    <row r="63" spans="1:24" s="26" customFormat="1" x14ac:dyDescent="0.2">
      <c r="A63" s="21">
        <v>56</v>
      </c>
      <c r="B63" s="129" t="s">
        <v>28</v>
      </c>
      <c r="C63" s="92" t="s">
        <v>260</v>
      </c>
      <c r="D63" s="92" t="s">
        <v>188</v>
      </c>
      <c r="E63" s="92" t="s">
        <v>261</v>
      </c>
      <c r="F63" s="122">
        <v>3000</v>
      </c>
      <c r="G63" s="100">
        <v>3000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4">
        <f t="shared" si="0"/>
        <v>3000</v>
      </c>
      <c r="T63" s="32">
        <v>0</v>
      </c>
      <c r="U63" s="46">
        <f t="shared" si="1"/>
        <v>3000</v>
      </c>
      <c r="V63" s="25"/>
      <c r="W63" s="32"/>
      <c r="X63" s="38"/>
    </row>
    <row r="64" spans="1:24" s="26" customFormat="1" x14ac:dyDescent="0.2">
      <c r="A64" s="21">
        <v>57</v>
      </c>
      <c r="B64" s="129" t="s">
        <v>400</v>
      </c>
      <c r="C64" s="92" t="s">
        <v>267</v>
      </c>
      <c r="D64" s="92" t="s">
        <v>188</v>
      </c>
      <c r="E64" s="92"/>
      <c r="F64" s="122">
        <v>20500</v>
      </c>
      <c r="G64" s="100">
        <v>20500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4">
        <f t="shared" si="0"/>
        <v>20500</v>
      </c>
      <c r="T64" s="32"/>
      <c r="U64" s="46">
        <f t="shared" si="1"/>
        <v>20500</v>
      </c>
      <c r="V64" s="25"/>
      <c r="W64" s="32"/>
      <c r="X64" s="38"/>
    </row>
    <row r="65" spans="1:24" s="26" customFormat="1" x14ac:dyDescent="0.2">
      <c r="A65" s="21">
        <v>58</v>
      </c>
      <c r="B65" s="129" t="s">
        <v>29</v>
      </c>
      <c r="C65" s="92" t="s">
        <v>279</v>
      </c>
      <c r="D65" s="92" t="s">
        <v>189</v>
      </c>
      <c r="E65" s="92" t="s">
        <v>261</v>
      </c>
      <c r="F65" s="122">
        <v>500</v>
      </c>
      <c r="G65" s="100">
        <v>500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4">
        <f t="shared" si="0"/>
        <v>500</v>
      </c>
      <c r="T65" s="32">
        <v>0</v>
      </c>
      <c r="U65" s="46">
        <f t="shared" si="1"/>
        <v>500</v>
      </c>
      <c r="V65" s="25"/>
      <c r="W65" s="32"/>
      <c r="X65" s="38"/>
    </row>
    <row r="66" spans="1:24" s="26" customFormat="1" x14ac:dyDescent="0.2">
      <c r="A66" s="21"/>
      <c r="B66" s="129" t="s">
        <v>436</v>
      </c>
      <c r="C66" s="92"/>
      <c r="D66" s="92"/>
      <c r="E66" s="92"/>
      <c r="F66" s="122"/>
      <c r="G66" s="100">
        <v>85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4"/>
      <c r="T66" s="32"/>
      <c r="U66" s="46"/>
      <c r="V66" s="25"/>
      <c r="W66" s="32"/>
      <c r="X66" s="38"/>
    </row>
    <row r="67" spans="1:24" s="26" customFormat="1" x14ac:dyDescent="0.2">
      <c r="A67" s="21">
        <v>59</v>
      </c>
      <c r="B67" s="144" t="s">
        <v>437</v>
      </c>
      <c r="C67" s="92" t="s">
        <v>251</v>
      </c>
      <c r="D67" s="92" t="s">
        <v>189</v>
      </c>
      <c r="E67" s="92" t="s">
        <v>261</v>
      </c>
      <c r="F67" s="122">
        <v>1750</v>
      </c>
      <c r="G67" s="100">
        <v>1750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4">
        <f t="shared" si="0"/>
        <v>1750</v>
      </c>
      <c r="T67" s="32">
        <v>0</v>
      </c>
      <c r="U67" s="46">
        <f t="shared" si="1"/>
        <v>1750</v>
      </c>
      <c r="V67" s="25"/>
      <c r="W67" s="32"/>
      <c r="X67" s="38"/>
    </row>
    <row r="68" spans="1:24" s="26" customFormat="1" x14ac:dyDescent="0.2">
      <c r="A68" s="21">
        <v>60</v>
      </c>
      <c r="B68" s="129" t="s">
        <v>110</v>
      </c>
      <c r="C68" s="92" t="s">
        <v>260</v>
      </c>
      <c r="D68" s="92" t="s">
        <v>188</v>
      </c>
      <c r="E68" s="92" t="s">
        <v>261</v>
      </c>
      <c r="F68" s="122">
        <v>3000</v>
      </c>
      <c r="G68" s="100">
        <v>3000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4">
        <f t="shared" si="0"/>
        <v>3000</v>
      </c>
      <c r="T68" s="32">
        <v>0</v>
      </c>
      <c r="U68" s="46">
        <f t="shared" si="1"/>
        <v>3000</v>
      </c>
      <c r="V68" s="25"/>
      <c r="W68" s="32"/>
      <c r="X68" s="38"/>
    </row>
    <row r="69" spans="1:24" s="26" customFormat="1" x14ac:dyDescent="0.2">
      <c r="A69" s="21">
        <v>61</v>
      </c>
      <c r="B69" s="129" t="s">
        <v>266</v>
      </c>
      <c r="C69" s="92" t="s">
        <v>260</v>
      </c>
      <c r="D69" s="92" t="s">
        <v>188</v>
      </c>
      <c r="E69" s="92" t="s">
        <v>318</v>
      </c>
      <c r="F69" s="122">
        <v>55000</v>
      </c>
      <c r="G69" s="100">
        <v>55000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4">
        <f t="shared" si="0"/>
        <v>55000</v>
      </c>
      <c r="T69" s="32">
        <v>0</v>
      </c>
      <c r="U69" s="46">
        <f t="shared" si="1"/>
        <v>55000</v>
      </c>
      <c r="V69" s="25"/>
      <c r="W69" s="32"/>
      <c r="X69" s="38"/>
    </row>
    <row r="70" spans="1:24" s="26" customFormat="1" x14ac:dyDescent="0.2">
      <c r="A70" s="21">
        <v>62</v>
      </c>
      <c r="B70" s="129" t="s">
        <v>31</v>
      </c>
      <c r="C70" s="92" t="s">
        <v>260</v>
      </c>
      <c r="D70" s="92" t="s">
        <v>188</v>
      </c>
      <c r="E70" s="92" t="s">
        <v>261</v>
      </c>
      <c r="F70" s="122">
        <v>1000</v>
      </c>
      <c r="G70" s="100">
        <v>1000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4">
        <f t="shared" si="0"/>
        <v>1000</v>
      </c>
      <c r="T70" s="32">
        <v>0</v>
      </c>
      <c r="U70" s="46">
        <f t="shared" si="1"/>
        <v>1000</v>
      </c>
      <c r="V70" s="25"/>
      <c r="W70" s="32"/>
      <c r="X70" s="38"/>
    </row>
    <row r="71" spans="1:24" s="26" customFormat="1" x14ac:dyDescent="0.2">
      <c r="A71" s="21">
        <v>63</v>
      </c>
      <c r="B71" s="129" t="s">
        <v>51</v>
      </c>
      <c r="C71" s="92" t="s">
        <v>240</v>
      </c>
      <c r="D71" s="92" t="s">
        <v>239</v>
      </c>
      <c r="E71" s="92" t="s">
        <v>261</v>
      </c>
      <c r="F71" s="122">
        <v>585</v>
      </c>
      <c r="G71" s="100">
        <f>29250/50</f>
        <v>585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4">
        <f t="shared" si="0"/>
        <v>585</v>
      </c>
      <c r="T71" s="32">
        <v>0</v>
      </c>
      <c r="U71" s="46">
        <f t="shared" si="1"/>
        <v>585</v>
      </c>
      <c r="V71" s="25"/>
      <c r="W71" s="32"/>
      <c r="X71" s="38"/>
    </row>
    <row r="72" spans="1:24" s="26" customFormat="1" x14ac:dyDescent="0.2">
      <c r="A72" s="21">
        <v>64</v>
      </c>
      <c r="B72" s="129" t="s">
        <v>183</v>
      </c>
      <c r="C72" s="92" t="s">
        <v>240</v>
      </c>
      <c r="D72" s="92" t="s">
        <v>239</v>
      </c>
      <c r="E72" s="92" t="s">
        <v>261</v>
      </c>
      <c r="F72" s="122">
        <v>1040</v>
      </c>
      <c r="G72" s="100">
        <f>52000/50</f>
        <v>1040</v>
      </c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4">
        <f t="shared" si="0"/>
        <v>1040</v>
      </c>
      <c r="T72" s="32">
        <v>0</v>
      </c>
      <c r="U72" s="46">
        <f t="shared" si="1"/>
        <v>1040</v>
      </c>
      <c r="V72" s="25"/>
      <c r="W72" s="32"/>
      <c r="X72" s="38"/>
    </row>
    <row r="73" spans="1:24" s="26" customFormat="1" x14ac:dyDescent="0.2">
      <c r="A73" s="21">
        <v>65</v>
      </c>
      <c r="B73" s="129" t="s">
        <v>271</v>
      </c>
      <c r="C73" s="92" t="s">
        <v>240</v>
      </c>
      <c r="D73" s="92" t="s">
        <v>188</v>
      </c>
      <c r="E73" s="92" t="s">
        <v>261</v>
      </c>
      <c r="F73" s="122">
        <v>880</v>
      </c>
      <c r="G73" s="100">
        <f>44000/50</f>
        <v>880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4">
        <f t="shared" si="0"/>
        <v>880</v>
      </c>
      <c r="T73" s="32">
        <v>0</v>
      </c>
      <c r="U73" s="46">
        <f t="shared" si="1"/>
        <v>880</v>
      </c>
      <c r="V73" s="25"/>
      <c r="W73" s="32"/>
      <c r="X73" s="38"/>
    </row>
    <row r="74" spans="1:24" s="26" customFormat="1" x14ac:dyDescent="0.2">
      <c r="A74" s="21">
        <v>66</v>
      </c>
      <c r="B74" s="129" t="s">
        <v>293</v>
      </c>
      <c r="C74" s="92" t="s">
        <v>240</v>
      </c>
      <c r="D74" s="92" t="s">
        <v>189</v>
      </c>
      <c r="E74" s="92" t="s">
        <v>261</v>
      </c>
      <c r="F74" s="122">
        <v>725</v>
      </c>
      <c r="G74" s="100">
        <f>36250/50</f>
        <v>725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4">
        <f t="shared" ref="S74:S137" si="2">SUM(F74:R74)/2</f>
        <v>725</v>
      </c>
      <c r="T74" s="32">
        <v>0</v>
      </c>
      <c r="U74" s="46">
        <f t="shared" si="1"/>
        <v>725</v>
      </c>
      <c r="V74" s="25"/>
      <c r="W74" s="32"/>
      <c r="X74" s="38"/>
    </row>
    <row r="75" spans="1:24" s="26" customFormat="1" x14ac:dyDescent="0.2">
      <c r="A75" s="21">
        <v>67</v>
      </c>
      <c r="B75" s="129" t="s">
        <v>50</v>
      </c>
      <c r="C75" s="92" t="s">
        <v>240</v>
      </c>
      <c r="D75" s="92" t="s">
        <v>189</v>
      </c>
      <c r="E75" s="92" t="s">
        <v>261</v>
      </c>
      <c r="F75" s="122">
        <v>555</v>
      </c>
      <c r="G75" s="100">
        <f>27750/50</f>
        <v>555</v>
      </c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4">
        <f t="shared" si="2"/>
        <v>555</v>
      </c>
      <c r="T75" s="32">
        <v>0</v>
      </c>
      <c r="U75" s="46">
        <f t="shared" si="1"/>
        <v>555</v>
      </c>
      <c r="V75" s="25"/>
      <c r="W75" s="32"/>
      <c r="X75" s="38"/>
    </row>
    <row r="76" spans="1:24" s="26" customFormat="1" x14ac:dyDescent="0.2">
      <c r="A76" s="21">
        <v>68</v>
      </c>
      <c r="B76" s="129" t="s">
        <v>259</v>
      </c>
      <c r="C76" s="92" t="s">
        <v>260</v>
      </c>
      <c r="D76" s="92" t="s">
        <v>188</v>
      </c>
      <c r="E76" s="92" t="s">
        <v>322</v>
      </c>
      <c r="F76" s="122">
        <v>36000</v>
      </c>
      <c r="G76" s="100">
        <v>36000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4">
        <f t="shared" si="2"/>
        <v>36000</v>
      </c>
      <c r="T76" s="32">
        <v>0</v>
      </c>
      <c r="U76" s="46">
        <f t="shared" si="1"/>
        <v>36000</v>
      </c>
      <c r="V76" s="25"/>
      <c r="W76" s="32"/>
      <c r="X76" s="38"/>
    </row>
    <row r="77" spans="1:24" s="26" customFormat="1" x14ac:dyDescent="0.2">
      <c r="A77" s="21">
        <v>69</v>
      </c>
      <c r="B77" s="129" t="s">
        <v>323</v>
      </c>
      <c r="C77" s="92" t="s">
        <v>267</v>
      </c>
      <c r="D77" s="92" t="s">
        <v>188</v>
      </c>
      <c r="E77" s="92" t="s">
        <v>322</v>
      </c>
      <c r="F77" s="122">
        <v>9500</v>
      </c>
      <c r="G77" s="100">
        <v>9500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4">
        <f t="shared" si="2"/>
        <v>9500</v>
      </c>
      <c r="T77" s="32">
        <v>0</v>
      </c>
      <c r="U77" s="46">
        <f t="shared" si="1"/>
        <v>9500</v>
      </c>
      <c r="V77" s="25"/>
      <c r="W77" s="32"/>
      <c r="X77" s="38"/>
    </row>
    <row r="78" spans="1:24" s="26" customFormat="1" x14ac:dyDescent="0.2">
      <c r="A78" s="21">
        <v>70</v>
      </c>
      <c r="B78" s="129" t="s">
        <v>323</v>
      </c>
      <c r="C78" s="92" t="s">
        <v>260</v>
      </c>
      <c r="D78" s="92" t="s">
        <v>188</v>
      </c>
      <c r="E78" s="92" t="s">
        <v>322</v>
      </c>
      <c r="F78" s="122">
        <v>9500</v>
      </c>
      <c r="G78" s="100">
        <v>9500</v>
      </c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4">
        <f t="shared" si="2"/>
        <v>9500</v>
      </c>
      <c r="T78" s="32">
        <v>0</v>
      </c>
      <c r="U78" s="46">
        <f t="shared" si="1"/>
        <v>9500</v>
      </c>
      <c r="V78" s="25"/>
      <c r="W78" s="32"/>
      <c r="X78" s="38"/>
    </row>
    <row r="79" spans="1:24" s="26" customFormat="1" x14ac:dyDescent="0.2">
      <c r="A79" s="21">
        <v>71</v>
      </c>
      <c r="B79" s="129" t="s">
        <v>324</v>
      </c>
      <c r="C79" s="92" t="s">
        <v>267</v>
      </c>
      <c r="D79" s="92" t="s">
        <v>188</v>
      </c>
      <c r="E79" s="92" t="s">
        <v>322</v>
      </c>
      <c r="F79" s="122">
        <v>11500</v>
      </c>
      <c r="G79" s="100">
        <v>11500</v>
      </c>
      <c r="H79" s="119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4">
        <f t="shared" si="2"/>
        <v>11500</v>
      </c>
      <c r="T79" s="32">
        <v>0</v>
      </c>
      <c r="U79" s="46">
        <f t="shared" si="1"/>
        <v>11500</v>
      </c>
      <c r="V79" s="25"/>
      <c r="W79" s="32"/>
      <c r="X79" s="38"/>
    </row>
    <row r="80" spans="1:24" s="26" customFormat="1" x14ac:dyDescent="0.2">
      <c r="A80" s="21">
        <v>72</v>
      </c>
      <c r="B80" s="129" t="s">
        <v>325</v>
      </c>
      <c r="C80" s="92" t="s">
        <v>260</v>
      </c>
      <c r="D80" s="92" t="s">
        <v>188</v>
      </c>
      <c r="E80" s="92" t="s">
        <v>322</v>
      </c>
      <c r="F80" s="100">
        <v>11000</v>
      </c>
      <c r="G80" s="100">
        <v>11000</v>
      </c>
      <c r="H80" s="119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4">
        <f t="shared" si="2"/>
        <v>11000</v>
      </c>
      <c r="T80" s="32">
        <v>0</v>
      </c>
      <c r="U80" s="46">
        <f t="shared" ref="U80:U139" si="3">T80+S80</f>
        <v>11000</v>
      </c>
      <c r="V80" s="25"/>
      <c r="W80" s="32"/>
      <c r="X80" s="38"/>
    </row>
    <row r="81" spans="1:24" s="26" customFormat="1" x14ac:dyDescent="0.2">
      <c r="A81" s="21">
        <v>73</v>
      </c>
      <c r="B81" s="129" t="s">
        <v>254</v>
      </c>
      <c r="C81" s="92" t="s">
        <v>267</v>
      </c>
      <c r="D81" s="92" t="s">
        <v>188</v>
      </c>
      <c r="E81" s="92" t="s">
        <v>322</v>
      </c>
      <c r="F81" s="122">
        <v>12000</v>
      </c>
      <c r="G81" s="100">
        <v>12000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4">
        <f t="shared" si="2"/>
        <v>12000</v>
      </c>
      <c r="T81" s="32">
        <v>0</v>
      </c>
      <c r="U81" s="46">
        <f t="shared" si="3"/>
        <v>12000</v>
      </c>
      <c r="V81" s="25"/>
      <c r="W81" s="32"/>
      <c r="X81" s="38"/>
    </row>
    <row r="82" spans="1:24" s="26" customFormat="1" x14ac:dyDescent="0.2">
      <c r="A82" s="21">
        <v>74</v>
      </c>
      <c r="B82" s="129" t="s">
        <v>254</v>
      </c>
      <c r="C82" s="92" t="s">
        <v>255</v>
      </c>
      <c r="D82" s="92" t="s">
        <v>188</v>
      </c>
      <c r="E82" s="92" t="s">
        <v>322</v>
      </c>
      <c r="F82" s="122">
        <v>11500</v>
      </c>
      <c r="G82" s="100">
        <v>11500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4">
        <f t="shared" si="2"/>
        <v>11500</v>
      </c>
      <c r="T82" s="32">
        <v>0</v>
      </c>
      <c r="U82" s="46">
        <f t="shared" si="3"/>
        <v>11500</v>
      </c>
      <c r="V82" s="25"/>
      <c r="W82" s="32"/>
      <c r="X82" s="38"/>
    </row>
    <row r="83" spans="1:24" s="26" customFormat="1" x14ac:dyDescent="0.2">
      <c r="A83" s="21">
        <v>75</v>
      </c>
      <c r="B83" s="129" t="s">
        <v>274</v>
      </c>
      <c r="C83" s="92" t="s">
        <v>267</v>
      </c>
      <c r="D83" s="92" t="s">
        <v>188</v>
      </c>
      <c r="E83" s="92" t="s">
        <v>322</v>
      </c>
      <c r="F83" s="122">
        <v>13500</v>
      </c>
      <c r="G83" s="100">
        <v>13500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4">
        <f t="shared" si="2"/>
        <v>13500</v>
      </c>
      <c r="T83" s="32">
        <v>0</v>
      </c>
      <c r="U83" s="46">
        <f t="shared" si="3"/>
        <v>13500</v>
      </c>
      <c r="V83" s="25"/>
      <c r="W83" s="32"/>
      <c r="X83" s="38"/>
    </row>
    <row r="84" spans="1:24" s="26" customFormat="1" x14ac:dyDescent="0.2">
      <c r="A84" s="21">
        <v>76</v>
      </c>
      <c r="B84" s="129" t="s">
        <v>274</v>
      </c>
      <c r="C84" s="92" t="s">
        <v>260</v>
      </c>
      <c r="D84" s="92" t="s">
        <v>188</v>
      </c>
      <c r="E84" s="92" t="s">
        <v>322</v>
      </c>
      <c r="F84" s="122">
        <v>13000</v>
      </c>
      <c r="G84" s="100">
        <v>13000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4">
        <f t="shared" si="2"/>
        <v>13000</v>
      </c>
      <c r="T84" s="32">
        <v>0</v>
      </c>
      <c r="U84" s="46">
        <f t="shared" si="3"/>
        <v>13000</v>
      </c>
      <c r="V84" s="25"/>
      <c r="W84" s="32"/>
      <c r="X84" s="38"/>
    </row>
    <row r="85" spans="1:24" s="26" customFormat="1" x14ac:dyDescent="0.2">
      <c r="A85" s="21">
        <v>77</v>
      </c>
      <c r="B85" s="129" t="s">
        <v>326</v>
      </c>
      <c r="C85" s="92" t="s">
        <v>267</v>
      </c>
      <c r="D85" s="92" t="s">
        <v>188</v>
      </c>
      <c r="E85" s="92" t="s">
        <v>322</v>
      </c>
      <c r="F85" s="122">
        <v>14500</v>
      </c>
      <c r="G85" s="100">
        <v>14500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4">
        <f t="shared" si="2"/>
        <v>14500</v>
      </c>
      <c r="T85" s="32">
        <v>0</v>
      </c>
      <c r="U85" s="46">
        <f t="shared" si="3"/>
        <v>14500</v>
      </c>
      <c r="V85" s="25"/>
      <c r="W85" s="32"/>
      <c r="X85" s="38"/>
    </row>
    <row r="86" spans="1:24" s="26" customFormat="1" x14ac:dyDescent="0.2">
      <c r="A86" s="21">
        <v>78</v>
      </c>
      <c r="B86" s="129" t="s">
        <v>326</v>
      </c>
      <c r="C86" s="92" t="s">
        <v>255</v>
      </c>
      <c r="D86" s="92" t="s">
        <v>188</v>
      </c>
      <c r="E86" s="92" t="s">
        <v>322</v>
      </c>
      <c r="F86" s="122">
        <v>14000</v>
      </c>
      <c r="G86" s="100">
        <v>14000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4">
        <f t="shared" si="2"/>
        <v>14000</v>
      </c>
      <c r="T86" s="32">
        <v>0</v>
      </c>
      <c r="U86" s="46">
        <f t="shared" si="3"/>
        <v>14000</v>
      </c>
      <c r="V86" s="25"/>
      <c r="W86" s="32"/>
      <c r="X86" s="38"/>
    </row>
    <row r="87" spans="1:24" s="26" customFormat="1" x14ac:dyDescent="0.2">
      <c r="A87" s="21">
        <v>79</v>
      </c>
      <c r="B87" s="129" t="s">
        <v>265</v>
      </c>
      <c r="C87" s="92" t="s">
        <v>267</v>
      </c>
      <c r="D87" s="92" t="s">
        <v>188</v>
      </c>
      <c r="E87" s="92" t="s">
        <v>322</v>
      </c>
      <c r="F87" s="122">
        <v>15500</v>
      </c>
      <c r="G87" s="100">
        <v>15500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4">
        <f t="shared" si="2"/>
        <v>15500</v>
      </c>
      <c r="T87" s="32">
        <v>0</v>
      </c>
      <c r="U87" s="46">
        <f t="shared" si="3"/>
        <v>15500</v>
      </c>
      <c r="V87" s="25"/>
      <c r="W87" s="32"/>
      <c r="X87" s="38"/>
    </row>
    <row r="88" spans="1:24" s="26" customFormat="1" x14ac:dyDescent="0.2">
      <c r="A88" s="21">
        <v>80</v>
      </c>
      <c r="B88" s="129" t="s">
        <v>265</v>
      </c>
      <c r="C88" s="92" t="s">
        <v>260</v>
      </c>
      <c r="D88" s="131" t="s">
        <v>188</v>
      </c>
      <c r="E88" s="92" t="s">
        <v>322</v>
      </c>
      <c r="F88" s="122">
        <v>15500</v>
      </c>
      <c r="G88" s="100">
        <v>15500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4">
        <f t="shared" si="2"/>
        <v>15500</v>
      </c>
      <c r="T88" s="32">
        <v>0</v>
      </c>
      <c r="U88" s="46">
        <f t="shared" si="3"/>
        <v>15500</v>
      </c>
      <c r="V88" s="25"/>
      <c r="W88" s="32"/>
      <c r="X88" s="38"/>
    </row>
    <row r="89" spans="1:24" s="26" customFormat="1" x14ac:dyDescent="0.2">
      <c r="A89" s="21">
        <v>81</v>
      </c>
      <c r="B89" s="129" t="s">
        <v>327</v>
      </c>
      <c r="C89" s="92" t="s">
        <v>267</v>
      </c>
      <c r="D89" s="92" t="s">
        <v>188</v>
      </c>
      <c r="E89" s="92" t="s">
        <v>322</v>
      </c>
      <c r="F89" s="122">
        <v>21500</v>
      </c>
      <c r="G89" s="100">
        <v>21500</v>
      </c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4">
        <f t="shared" si="2"/>
        <v>21500</v>
      </c>
      <c r="T89" s="32">
        <v>0</v>
      </c>
      <c r="U89" s="46">
        <f t="shared" si="3"/>
        <v>21500</v>
      </c>
      <c r="V89" s="25"/>
      <c r="W89" s="32"/>
      <c r="X89" s="38"/>
    </row>
    <row r="90" spans="1:24" s="26" customFormat="1" x14ac:dyDescent="0.2">
      <c r="A90" s="21">
        <v>82</v>
      </c>
      <c r="B90" s="129" t="s">
        <v>327</v>
      </c>
      <c r="C90" s="92" t="s">
        <v>255</v>
      </c>
      <c r="D90" s="92" t="s">
        <v>188</v>
      </c>
      <c r="E90" s="92" t="s">
        <v>322</v>
      </c>
      <c r="F90" s="122">
        <v>16500</v>
      </c>
      <c r="G90" s="100">
        <v>16500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4">
        <f t="shared" si="2"/>
        <v>16500</v>
      </c>
      <c r="T90" s="32">
        <v>0</v>
      </c>
      <c r="U90" s="46">
        <f t="shared" si="3"/>
        <v>16500</v>
      </c>
      <c r="V90" s="25"/>
      <c r="W90" s="32"/>
      <c r="X90" s="38"/>
    </row>
    <row r="91" spans="1:24" s="26" customFormat="1" x14ac:dyDescent="0.2">
      <c r="A91" s="21">
        <v>83</v>
      </c>
      <c r="B91" s="129" t="s">
        <v>328</v>
      </c>
      <c r="C91" s="92" t="s">
        <v>267</v>
      </c>
      <c r="D91" s="92" t="s">
        <v>188</v>
      </c>
      <c r="E91" s="92" t="s">
        <v>322</v>
      </c>
      <c r="F91" s="122">
        <v>23500</v>
      </c>
      <c r="G91" s="100">
        <v>23500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4">
        <f t="shared" si="2"/>
        <v>23500</v>
      </c>
      <c r="T91" s="32">
        <v>0</v>
      </c>
      <c r="U91" s="46">
        <f t="shared" si="3"/>
        <v>23500</v>
      </c>
      <c r="V91" s="25"/>
      <c r="W91" s="32"/>
      <c r="X91" s="38"/>
    </row>
    <row r="92" spans="1:24" s="26" customFormat="1" x14ac:dyDescent="0.2">
      <c r="A92" s="21">
        <v>84</v>
      </c>
      <c r="B92" s="129" t="s">
        <v>328</v>
      </c>
      <c r="C92" s="92" t="s">
        <v>255</v>
      </c>
      <c r="D92" s="92" t="s">
        <v>188</v>
      </c>
      <c r="E92" s="92" t="s">
        <v>322</v>
      </c>
      <c r="F92" s="122">
        <v>16500</v>
      </c>
      <c r="G92" s="100">
        <v>16500</v>
      </c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4">
        <f t="shared" si="2"/>
        <v>16500</v>
      </c>
      <c r="T92" s="32">
        <v>0</v>
      </c>
      <c r="U92" s="46">
        <f t="shared" si="3"/>
        <v>16500</v>
      </c>
      <c r="V92" s="25"/>
      <c r="W92" s="32"/>
      <c r="X92" s="38"/>
    </row>
    <row r="93" spans="1:24" s="26" customFormat="1" x14ac:dyDescent="0.2">
      <c r="A93" s="21">
        <v>85</v>
      </c>
      <c r="B93" s="129" t="s">
        <v>329</v>
      </c>
      <c r="C93" s="92" t="s">
        <v>267</v>
      </c>
      <c r="D93" s="92" t="s">
        <v>188</v>
      </c>
      <c r="E93" s="92" t="s">
        <v>322</v>
      </c>
      <c r="F93" s="122">
        <v>17500</v>
      </c>
      <c r="G93" s="100">
        <v>17500</v>
      </c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4">
        <f t="shared" si="2"/>
        <v>17500</v>
      </c>
      <c r="T93" s="32">
        <v>0</v>
      </c>
      <c r="U93" s="46">
        <f t="shared" si="3"/>
        <v>17500</v>
      </c>
      <c r="V93" s="25"/>
      <c r="W93" s="32"/>
      <c r="X93" s="38"/>
    </row>
    <row r="94" spans="1:24" s="26" customFormat="1" x14ac:dyDescent="0.2">
      <c r="A94" s="21">
        <v>86</v>
      </c>
      <c r="B94" s="129" t="s">
        <v>329</v>
      </c>
      <c r="C94" s="92" t="s">
        <v>255</v>
      </c>
      <c r="D94" s="92" t="s">
        <v>188</v>
      </c>
      <c r="E94" s="92" t="s">
        <v>322</v>
      </c>
      <c r="F94" s="122">
        <v>15500</v>
      </c>
      <c r="G94" s="100">
        <v>15500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4">
        <f t="shared" si="2"/>
        <v>15500</v>
      </c>
      <c r="T94" s="32">
        <v>0</v>
      </c>
      <c r="U94" s="46">
        <f t="shared" si="3"/>
        <v>15500</v>
      </c>
      <c r="V94" s="25"/>
      <c r="W94" s="32"/>
      <c r="X94" s="38"/>
    </row>
    <row r="95" spans="1:24" s="26" customFormat="1" x14ac:dyDescent="0.2">
      <c r="A95" s="21">
        <v>87</v>
      </c>
      <c r="B95" s="129" t="s">
        <v>330</v>
      </c>
      <c r="C95" s="92" t="s">
        <v>267</v>
      </c>
      <c r="D95" s="92" t="s">
        <v>188</v>
      </c>
      <c r="E95" s="92" t="s">
        <v>322</v>
      </c>
      <c r="F95" s="122">
        <v>20500</v>
      </c>
      <c r="G95" s="100">
        <v>20500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4">
        <f t="shared" si="2"/>
        <v>20500</v>
      </c>
      <c r="T95" s="32">
        <v>0</v>
      </c>
      <c r="U95" s="46">
        <f t="shared" si="3"/>
        <v>20500</v>
      </c>
      <c r="V95" s="25"/>
      <c r="W95" s="32"/>
      <c r="X95" s="38"/>
    </row>
    <row r="96" spans="1:24" s="26" customFormat="1" x14ac:dyDescent="0.2">
      <c r="A96" s="21">
        <v>88</v>
      </c>
      <c r="B96" s="129" t="s">
        <v>330</v>
      </c>
      <c r="C96" s="92" t="s">
        <v>255</v>
      </c>
      <c r="D96" s="92" t="s">
        <v>188</v>
      </c>
      <c r="E96" s="92" t="s">
        <v>322</v>
      </c>
      <c r="F96" s="122">
        <v>18500</v>
      </c>
      <c r="G96" s="100">
        <v>18500</v>
      </c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4">
        <f t="shared" si="2"/>
        <v>18500</v>
      </c>
      <c r="T96" s="32">
        <v>0</v>
      </c>
      <c r="U96" s="46">
        <f t="shared" si="3"/>
        <v>18500</v>
      </c>
      <c r="V96" s="25"/>
      <c r="W96" s="32"/>
      <c r="X96" s="38"/>
    </row>
    <row r="97" spans="1:24" s="26" customFormat="1" x14ac:dyDescent="0.2">
      <c r="A97" s="21">
        <v>89</v>
      </c>
      <c r="B97" s="129" t="s">
        <v>270</v>
      </c>
      <c r="C97" s="92" t="s">
        <v>267</v>
      </c>
      <c r="D97" s="92"/>
      <c r="E97" s="92" t="s">
        <v>322</v>
      </c>
      <c r="F97" s="122">
        <v>24500</v>
      </c>
      <c r="G97" s="100">
        <v>24500</v>
      </c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4">
        <f t="shared" si="2"/>
        <v>24500</v>
      </c>
      <c r="T97" s="32">
        <v>0</v>
      </c>
      <c r="U97" s="46">
        <f t="shared" si="3"/>
        <v>24500</v>
      </c>
      <c r="V97" s="25"/>
      <c r="W97" s="32"/>
      <c r="X97" s="38"/>
    </row>
    <row r="98" spans="1:24" s="26" customFormat="1" x14ac:dyDescent="0.2">
      <c r="A98" s="21">
        <v>90</v>
      </c>
      <c r="B98" s="129" t="s">
        <v>270</v>
      </c>
      <c r="C98" s="92" t="s">
        <v>260</v>
      </c>
      <c r="D98" s="92" t="s">
        <v>188</v>
      </c>
      <c r="E98" s="92" t="s">
        <v>322</v>
      </c>
      <c r="F98" s="122">
        <v>21500</v>
      </c>
      <c r="G98" s="100">
        <v>21500</v>
      </c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4">
        <f t="shared" si="2"/>
        <v>21500</v>
      </c>
      <c r="T98" s="32">
        <v>0</v>
      </c>
      <c r="U98" s="46">
        <f t="shared" si="3"/>
        <v>21500</v>
      </c>
      <c r="V98" s="25"/>
      <c r="W98" s="32"/>
      <c r="X98" s="38"/>
    </row>
    <row r="99" spans="1:24" s="26" customFormat="1" x14ac:dyDescent="0.2">
      <c r="A99" s="21">
        <v>91</v>
      </c>
      <c r="B99" s="129" t="s">
        <v>331</v>
      </c>
      <c r="C99" s="92" t="s">
        <v>267</v>
      </c>
      <c r="D99" s="92" t="s">
        <v>188</v>
      </c>
      <c r="E99" s="92" t="s">
        <v>322</v>
      </c>
      <c r="F99" s="122">
        <v>27500</v>
      </c>
      <c r="G99" s="100">
        <v>27500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4">
        <f t="shared" si="2"/>
        <v>27500</v>
      </c>
      <c r="T99" s="32">
        <v>0</v>
      </c>
      <c r="U99" s="46">
        <f t="shared" si="3"/>
        <v>27500</v>
      </c>
      <c r="V99" s="25"/>
      <c r="W99" s="32"/>
      <c r="X99" s="38"/>
    </row>
    <row r="100" spans="1:24" s="26" customFormat="1" x14ac:dyDescent="0.2">
      <c r="A100" s="21">
        <v>92</v>
      </c>
      <c r="B100" s="129" t="s">
        <v>331</v>
      </c>
      <c r="C100" s="92" t="s">
        <v>260</v>
      </c>
      <c r="D100" s="92" t="s">
        <v>188</v>
      </c>
      <c r="E100" s="92" t="s">
        <v>322</v>
      </c>
      <c r="F100" s="122">
        <v>24000</v>
      </c>
      <c r="G100" s="100">
        <v>24000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4">
        <f t="shared" si="2"/>
        <v>24000</v>
      </c>
      <c r="T100" s="32">
        <v>0</v>
      </c>
      <c r="U100" s="46">
        <f t="shared" si="3"/>
        <v>24000</v>
      </c>
      <c r="V100" s="25"/>
      <c r="W100" s="32"/>
      <c r="X100" s="38"/>
    </row>
    <row r="101" spans="1:24" s="26" customFormat="1" x14ac:dyDescent="0.2">
      <c r="A101" s="21">
        <v>93</v>
      </c>
      <c r="B101" s="129" t="s">
        <v>292</v>
      </c>
      <c r="C101" s="92" t="s">
        <v>267</v>
      </c>
      <c r="D101" s="92" t="s">
        <v>188</v>
      </c>
      <c r="E101" s="92" t="s">
        <v>322</v>
      </c>
      <c r="F101" s="122">
        <v>31500</v>
      </c>
      <c r="G101" s="100">
        <v>31500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4">
        <f t="shared" si="2"/>
        <v>31500</v>
      </c>
      <c r="T101" s="32">
        <v>0</v>
      </c>
      <c r="U101" s="46">
        <f t="shared" si="3"/>
        <v>31500</v>
      </c>
      <c r="V101" s="25"/>
      <c r="W101" s="32"/>
      <c r="X101" s="38"/>
    </row>
    <row r="102" spans="1:24" s="26" customFormat="1" x14ac:dyDescent="0.2">
      <c r="A102" s="21">
        <v>94</v>
      </c>
      <c r="B102" s="129" t="s">
        <v>292</v>
      </c>
      <c r="C102" s="92" t="s">
        <v>260</v>
      </c>
      <c r="D102" s="92" t="s">
        <v>188</v>
      </c>
      <c r="E102" s="92" t="s">
        <v>322</v>
      </c>
      <c r="F102" s="122">
        <v>27000</v>
      </c>
      <c r="G102" s="100">
        <v>27000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4">
        <f t="shared" si="2"/>
        <v>27000</v>
      </c>
      <c r="T102" s="32">
        <v>0</v>
      </c>
      <c r="U102" s="46">
        <f t="shared" si="3"/>
        <v>27000</v>
      </c>
      <c r="V102" s="25"/>
      <c r="W102" s="32"/>
      <c r="X102" s="38"/>
    </row>
    <row r="103" spans="1:24" s="26" customFormat="1" x14ac:dyDescent="0.2">
      <c r="A103" s="21">
        <v>95</v>
      </c>
      <c r="B103" s="129" t="s">
        <v>332</v>
      </c>
      <c r="C103" s="92" t="s">
        <v>267</v>
      </c>
      <c r="D103" s="92" t="s">
        <v>188</v>
      </c>
      <c r="E103" s="92" t="s">
        <v>322</v>
      </c>
      <c r="F103" s="122">
        <v>34500</v>
      </c>
      <c r="G103" s="100">
        <v>34500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4">
        <f t="shared" si="2"/>
        <v>34500</v>
      </c>
      <c r="T103" s="32">
        <v>0</v>
      </c>
      <c r="U103" s="46">
        <f t="shared" si="3"/>
        <v>34500</v>
      </c>
      <c r="V103" s="25"/>
      <c r="W103" s="32"/>
      <c r="X103" s="38"/>
    </row>
    <row r="104" spans="1:24" s="26" customFormat="1" x14ac:dyDescent="0.2">
      <c r="A104" s="21">
        <v>96</v>
      </c>
      <c r="B104" s="129" t="s">
        <v>332</v>
      </c>
      <c r="C104" s="92" t="s">
        <v>260</v>
      </c>
      <c r="D104" s="92" t="s">
        <v>188</v>
      </c>
      <c r="E104" s="92" t="s">
        <v>322</v>
      </c>
      <c r="F104" s="122">
        <v>30000</v>
      </c>
      <c r="G104" s="100">
        <v>30000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4">
        <f t="shared" si="2"/>
        <v>30000</v>
      </c>
      <c r="T104" s="32">
        <v>0</v>
      </c>
      <c r="U104" s="46">
        <f t="shared" si="3"/>
        <v>30000</v>
      </c>
      <c r="V104" s="25"/>
      <c r="W104" s="32"/>
      <c r="X104" s="38"/>
    </row>
    <row r="105" spans="1:24" s="26" customFormat="1" x14ac:dyDescent="0.2">
      <c r="A105" s="21">
        <v>97</v>
      </c>
      <c r="B105" s="129" t="s">
        <v>333</v>
      </c>
      <c r="C105" s="92" t="s">
        <v>267</v>
      </c>
      <c r="D105" s="92" t="s">
        <v>188</v>
      </c>
      <c r="E105" s="92" t="s">
        <v>322</v>
      </c>
      <c r="F105" s="122">
        <v>43500</v>
      </c>
      <c r="G105" s="100">
        <v>43500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4">
        <f t="shared" si="2"/>
        <v>43500</v>
      </c>
      <c r="T105" s="32">
        <v>0</v>
      </c>
      <c r="U105" s="46">
        <f t="shared" si="3"/>
        <v>43500</v>
      </c>
      <c r="V105" s="25"/>
      <c r="W105" s="32"/>
      <c r="X105" s="38"/>
    </row>
    <row r="106" spans="1:24" s="26" customFormat="1" x14ac:dyDescent="0.2">
      <c r="A106" s="21">
        <v>98</v>
      </c>
      <c r="B106" s="129" t="s">
        <v>334</v>
      </c>
      <c r="C106" s="92" t="s">
        <v>260</v>
      </c>
      <c r="D106" s="92" t="s">
        <v>188</v>
      </c>
      <c r="E106" s="92" t="s">
        <v>322</v>
      </c>
      <c r="F106" s="122">
        <v>32500</v>
      </c>
      <c r="G106" s="100">
        <v>32500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4">
        <f t="shared" si="2"/>
        <v>32500</v>
      </c>
      <c r="T106" s="32">
        <v>0</v>
      </c>
      <c r="U106" s="46">
        <f t="shared" si="3"/>
        <v>32500</v>
      </c>
      <c r="V106" s="25"/>
      <c r="W106" s="32"/>
      <c r="X106" s="38"/>
    </row>
    <row r="107" spans="1:24" s="26" customFormat="1" x14ac:dyDescent="0.2">
      <c r="A107" s="21">
        <v>99</v>
      </c>
      <c r="B107" s="129" t="s">
        <v>335</v>
      </c>
      <c r="C107" s="92" t="s">
        <v>267</v>
      </c>
      <c r="D107" s="92" t="s">
        <v>188</v>
      </c>
      <c r="E107" s="92" t="s">
        <v>322</v>
      </c>
      <c r="F107" s="109">
        <v>47500</v>
      </c>
      <c r="G107" s="100">
        <v>47500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4">
        <f t="shared" si="2"/>
        <v>47500</v>
      </c>
      <c r="T107" s="32">
        <v>0</v>
      </c>
      <c r="U107" s="46">
        <f t="shared" si="3"/>
        <v>47500</v>
      </c>
      <c r="V107" s="25"/>
      <c r="W107" s="32"/>
      <c r="X107" s="38"/>
    </row>
    <row r="108" spans="1:24" s="26" customFormat="1" x14ac:dyDescent="0.2">
      <c r="A108" s="21">
        <v>100</v>
      </c>
      <c r="B108" s="129" t="s">
        <v>335</v>
      </c>
      <c r="C108" s="92" t="s">
        <v>260</v>
      </c>
      <c r="D108" s="92" t="s">
        <v>188</v>
      </c>
      <c r="E108" s="92" t="s">
        <v>322</v>
      </c>
      <c r="F108" s="123">
        <v>35500</v>
      </c>
      <c r="G108" s="100">
        <v>35500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4">
        <f t="shared" si="2"/>
        <v>35500</v>
      </c>
      <c r="T108" s="32">
        <v>0</v>
      </c>
      <c r="U108" s="46">
        <f t="shared" si="3"/>
        <v>35500</v>
      </c>
      <c r="V108" s="25"/>
      <c r="W108" s="32"/>
      <c r="X108" s="38"/>
    </row>
    <row r="109" spans="1:24" s="26" customFormat="1" x14ac:dyDescent="0.2">
      <c r="A109" s="21">
        <v>101</v>
      </c>
      <c r="B109" s="129" t="s">
        <v>125</v>
      </c>
      <c r="C109" s="107" t="s">
        <v>282</v>
      </c>
      <c r="D109" s="107" t="s">
        <v>189</v>
      </c>
      <c r="E109" s="107" t="s">
        <v>261</v>
      </c>
      <c r="F109" s="123">
        <v>115662</v>
      </c>
      <c r="G109" s="100">
        <v>126000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4">
        <f t="shared" si="2"/>
        <v>120831</v>
      </c>
      <c r="T109" s="32">
        <v>0</v>
      </c>
      <c r="U109" s="46">
        <f t="shared" si="3"/>
        <v>120831</v>
      </c>
      <c r="V109" s="25"/>
      <c r="W109" s="32"/>
      <c r="X109" s="38"/>
    </row>
    <row r="110" spans="1:24" s="26" customFormat="1" x14ac:dyDescent="0.2">
      <c r="A110" s="21">
        <v>102</v>
      </c>
      <c r="B110" s="129" t="s">
        <v>27</v>
      </c>
      <c r="C110" s="92" t="s">
        <v>260</v>
      </c>
      <c r="D110" s="92" t="s">
        <v>188</v>
      </c>
      <c r="E110" s="92" t="s">
        <v>261</v>
      </c>
      <c r="F110" s="123">
        <v>17000</v>
      </c>
      <c r="G110" s="100">
        <v>17000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4">
        <f t="shared" si="2"/>
        <v>17000</v>
      </c>
      <c r="T110" s="32">
        <v>0</v>
      </c>
      <c r="U110" s="46">
        <f t="shared" si="3"/>
        <v>17000</v>
      </c>
      <c r="V110" s="25"/>
      <c r="W110" s="32"/>
      <c r="X110" s="38"/>
    </row>
    <row r="111" spans="1:24" s="26" customFormat="1" x14ac:dyDescent="0.2">
      <c r="A111" s="21">
        <v>103</v>
      </c>
      <c r="B111" s="129" t="s">
        <v>133</v>
      </c>
      <c r="C111" s="107" t="s">
        <v>240</v>
      </c>
      <c r="D111" s="107" t="s">
        <v>189</v>
      </c>
      <c r="E111" s="107" t="s">
        <v>261</v>
      </c>
      <c r="F111" s="123">
        <v>5500</v>
      </c>
      <c r="G111" s="100">
        <v>5500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4">
        <f t="shared" si="2"/>
        <v>5500</v>
      </c>
      <c r="T111" s="32">
        <v>0</v>
      </c>
      <c r="U111" s="46">
        <f t="shared" si="3"/>
        <v>5500</v>
      </c>
      <c r="V111" s="25"/>
      <c r="W111" s="32"/>
      <c r="X111" s="38"/>
    </row>
    <row r="112" spans="1:24" s="26" customFormat="1" x14ac:dyDescent="0.2">
      <c r="A112" s="21">
        <v>104</v>
      </c>
      <c r="B112" s="129" t="s">
        <v>109</v>
      </c>
      <c r="C112" s="107" t="s">
        <v>240</v>
      </c>
      <c r="D112" s="107" t="s">
        <v>189</v>
      </c>
      <c r="E112" s="107" t="s">
        <v>261</v>
      </c>
      <c r="F112" s="123">
        <v>12500</v>
      </c>
      <c r="G112" s="100">
        <v>12500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4">
        <f t="shared" si="2"/>
        <v>12500</v>
      </c>
      <c r="T112" s="32">
        <v>0</v>
      </c>
      <c r="U112" s="46">
        <f t="shared" si="3"/>
        <v>12500</v>
      </c>
      <c r="V112" s="25"/>
      <c r="W112" s="32"/>
      <c r="X112" s="38"/>
    </row>
    <row r="113" spans="1:24" s="26" customFormat="1" x14ac:dyDescent="0.2">
      <c r="A113" s="21">
        <v>105</v>
      </c>
      <c r="B113" s="129" t="s">
        <v>273</v>
      </c>
      <c r="C113" s="107" t="s">
        <v>272</v>
      </c>
      <c r="D113" s="107" t="s">
        <v>189</v>
      </c>
      <c r="E113" s="107" t="s">
        <v>261</v>
      </c>
      <c r="F113" s="123">
        <v>25000</v>
      </c>
      <c r="G113" s="100">
        <v>25000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4">
        <f t="shared" si="2"/>
        <v>25000</v>
      </c>
      <c r="T113" s="32">
        <v>0</v>
      </c>
      <c r="U113" s="46">
        <f t="shared" si="3"/>
        <v>25000</v>
      </c>
      <c r="V113" s="25"/>
      <c r="W113" s="32"/>
      <c r="X113" s="38"/>
    </row>
    <row r="114" spans="1:24" s="26" customFormat="1" x14ac:dyDescent="0.2">
      <c r="A114" s="21">
        <v>106</v>
      </c>
      <c r="B114" s="129" t="s">
        <v>314</v>
      </c>
      <c r="C114" s="107" t="s">
        <v>240</v>
      </c>
      <c r="D114" s="107" t="s">
        <v>189</v>
      </c>
      <c r="E114" s="107" t="s">
        <v>261</v>
      </c>
      <c r="F114" s="123">
        <v>35</v>
      </c>
      <c r="G114" s="100">
        <v>35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4">
        <f t="shared" si="2"/>
        <v>35</v>
      </c>
      <c r="T114" s="32">
        <v>0</v>
      </c>
      <c r="U114" s="46">
        <f t="shared" si="3"/>
        <v>35</v>
      </c>
      <c r="V114" s="25"/>
      <c r="W114" s="32"/>
      <c r="X114" s="38"/>
    </row>
    <row r="115" spans="1:24" s="26" customFormat="1" x14ac:dyDescent="0.2">
      <c r="A115" s="21">
        <v>107</v>
      </c>
      <c r="B115" s="129" t="s">
        <v>241</v>
      </c>
      <c r="C115" s="107" t="s">
        <v>240</v>
      </c>
      <c r="D115" s="107" t="s">
        <v>189</v>
      </c>
      <c r="E115" s="107" t="s">
        <v>261</v>
      </c>
      <c r="F115" s="123">
        <v>60</v>
      </c>
      <c r="G115" s="100">
        <v>60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4">
        <f t="shared" si="2"/>
        <v>60</v>
      </c>
      <c r="T115" s="32">
        <v>0</v>
      </c>
      <c r="U115" s="46">
        <f t="shared" si="3"/>
        <v>60</v>
      </c>
      <c r="V115" s="25"/>
      <c r="W115" s="32"/>
      <c r="X115" s="38"/>
    </row>
    <row r="116" spans="1:24" s="26" customFormat="1" x14ac:dyDescent="0.2">
      <c r="A116" s="21">
        <v>108</v>
      </c>
      <c r="B116" s="129" t="s">
        <v>32</v>
      </c>
      <c r="C116" s="107" t="s">
        <v>260</v>
      </c>
      <c r="D116" s="107" t="s">
        <v>188</v>
      </c>
      <c r="E116" s="107" t="s">
        <v>261</v>
      </c>
      <c r="F116" s="123">
        <v>350</v>
      </c>
      <c r="G116" s="100">
        <v>350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4">
        <f t="shared" si="2"/>
        <v>350</v>
      </c>
      <c r="T116" s="32">
        <v>0</v>
      </c>
      <c r="U116" s="46">
        <f t="shared" si="3"/>
        <v>350</v>
      </c>
      <c r="V116" s="25"/>
      <c r="W116" s="32"/>
      <c r="X116" s="38"/>
    </row>
    <row r="117" spans="1:24" s="26" customFormat="1" x14ac:dyDescent="0.2">
      <c r="A117" s="21">
        <v>109</v>
      </c>
      <c r="B117" s="129" t="s">
        <v>418</v>
      </c>
      <c r="C117" s="107" t="s">
        <v>267</v>
      </c>
      <c r="D117" s="107" t="s">
        <v>189</v>
      </c>
      <c r="E117" s="107" t="s">
        <v>261</v>
      </c>
      <c r="F117" s="123">
        <v>465</v>
      </c>
      <c r="G117" s="123">
        <v>465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4">
        <f t="shared" si="2"/>
        <v>465</v>
      </c>
      <c r="T117" s="32"/>
      <c r="U117" s="46">
        <f t="shared" si="3"/>
        <v>465</v>
      </c>
      <c r="V117" s="25"/>
      <c r="W117" s="32"/>
      <c r="X117" s="38"/>
    </row>
    <row r="118" spans="1:24" s="26" customFormat="1" x14ac:dyDescent="0.2">
      <c r="A118" s="21">
        <v>110</v>
      </c>
      <c r="B118" s="129" t="s">
        <v>128</v>
      </c>
      <c r="C118" s="107" t="s">
        <v>281</v>
      </c>
      <c r="D118" s="107" t="s">
        <v>189</v>
      </c>
      <c r="E118" s="107" t="s">
        <v>261</v>
      </c>
      <c r="F118" s="123"/>
      <c r="G118" s="100">
        <v>450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4">
        <f t="shared" si="2"/>
        <v>225</v>
      </c>
      <c r="T118" s="32">
        <v>0</v>
      </c>
      <c r="U118" s="46">
        <f t="shared" si="3"/>
        <v>225</v>
      </c>
      <c r="V118" s="25"/>
      <c r="W118" s="32"/>
      <c r="X118" s="38"/>
    </row>
    <row r="119" spans="1:24" s="26" customFormat="1" x14ac:dyDescent="0.2">
      <c r="A119" s="21">
        <v>111</v>
      </c>
      <c r="B119" s="129" t="s">
        <v>33</v>
      </c>
      <c r="C119" s="107" t="s">
        <v>252</v>
      </c>
      <c r="D119" s="107" t="s">
        <v>189</v>
      </c>
      <c r="E119" s="107" t="s">
        <v>261</v>
      </c>
      <c r="F119" s="123">
        <v>60000</v>
      </c>
      <c r="G119" s="100">
        <v>60000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4">
        <f t="shared" si="2"/>
        <v>60000</v>
      </c>
      <c r="T119" s="32">
        <v>0</v>
      </c>
      <c r="U119" s="46">
        <f t="shared" si="3"/>
        <v>60000</v>
      </c>
      <c r="V119" s="25"/>
      <c r="W119" s="32"/>
      <c r="X119" s="38"/>
    </row>
    <row r="120" spans="1:24" s="26" customFormat="1" x14ac:dyDescent="0.2">
      <c r="A120" s="21">
        <v>112</v>
      </c>
      <c r="B120" s="129" t="s">
        <v>166</v>
      </c>
      <c r="C120" s="107" t="s">
        <v>280</v>
      </c>
      <c r="D120" s="107" t="s">
        <v>188</v>
      </c>
      <c r="E120" s="107" t="s">
        <v>317</v>
      </c>
      <c r="F120" s="123">
        <v>15256</v>
      </c>
      <c r="G120" s="132">
        <v>12290</v>
      </c>
      <c r="H120" s="51"/>
      <c r="I120" s="51"/>
      <c r="J120" s="51"/>
      <c r="K120" s="51"/>
      <c r="L120" s="51"/>
      <c r="M120" s="51"/>
      <c r="N120" s="51"/>
      <c r="O120" s="51"/>
      <c r="P120" s="51"/>
      <c r="Q120" s="74"/>
      <c r="R120" s="25"/>
      <c r="S120" s="24">
        <f t="shared" si="2"/>
        <v>13773</v>
      </c>
      <c r="T120" s="32">
        <v>0</v>
      </c>
      <c r="U120" s="46">
        <f t="shared" si="3"/>
        <v>13773</v>
      </c>
      <c r="V120" s="25"/>
      <c r="W120" s="32"/>
      <c r="X120" s="38"/>
    </row>
    <row r="121" spans="1:24" s="26" customFormat="1" x14ac:dyDescent="0.2">
      <c r="A121" s="21"/>
      <c r="B121" s="129"/>
      <c r="C121" s="107"/>
      <c r="D121" s="107"/>
      <c r="E121" s="107"/>
      <c r="F121" s="123"/>
      <c r="G121" s="100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4">
        <f t="shared" si="2"/>
        <v>0</v>
      </c>
      <c r="T121" s="32"/>
      <c r="U121" s="46">
        <f t="shared" si="3"/>
        <v>0</v>
      </c>
      <c r="V121" s="25"/>
      <c r="W121" s="32"/>
      <c r="X121" s="38"/>
    </row>
    <row r="122" spans="1:24" s="26" customFormat="1" x14ac:dyDescent="0.2">
      <c r="A122" s="21"/>
      <c r="B122" s="133" t="s">
        <v>76</v>
      </c>
      <c r="C122" s="107"/>
      <c r="D122" s="107"/>
      <c r="E122" s="107"/>
      <c r="F122" s="123"/>
      <c r="G122" s="100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4">
        <f t="shared" si="2"/>
        <v>0</v>
      </c>
      <c r="T122" s="32"/>
      <c r="U122" s="46">
        <f t="shared" si="3"/>
        <v>0</v>
      </c>
      <c r="V122" s="25"/>
      <c r="W122" s="32"/>
      <c r="X122" s="38"/>
    </row>
    <row r="123" spans="1:24" s="26" customFormat="1" x14ac:dyDescent="0.2">
      <c r="A123" s="21">
        <v>1</v>
      </c>
      <c r="B123" s="129" t="s">
        <v>57</v>
      </c>
      <c r="C123" s="107" t="s">
        <v>246</v>
      </c>
      <c r="D123" s="107" t="s">
        <v>188</v>
      </c>
      <c r="E123" s="107" t="s">
        <v>261</v>
      </c>
      <c r="F123" s="100">
        <v>172493</v>
      </c>
      <c r="G123" s="134">
        <v>172493</v>
      </c>
      <c r="H123" s="25"/>
      <c r="I123" s="25"/>
      <c r="J123" s="25"/>
      <c r="K123" s="25"/>
      <c r="L123" s="25"/>
      <c r="M123" s="62"/>
      <c r="N123" s="62"/>
      <c r="O123" s="62"/>
      <c r="P123" s="25"/>
      <c r="Q123" s="25"/>
      <c r="R123" s="25"/>
      <c r="S123" s="24">
        <f t="shared" si="2"/>
        <v>172493</v>
      </c>
      <c r="T123" s="32">
        <v>0</v>
      </c>
      <c r="U123" s="46">
        <f t="shared" si="3"/>
        <v>172493</v>
      </c>
      <c r="V123" s="25"/>
      <c r="W123" s="32"/>
      <c r="X123" s="38"/>
    </row>
    <row r="124" spans="1:24" s="26" customFormat="1" x14ac:dyDescent="0.2">
      <c r="A124" s="21">
        <v>2</v>
      </c>
      <c r="B124" s="129" t="s">
        <v>58</v>
      </c>
      <c r="C124" s="107" t="s">
        <v>246</v>
      </c>
      <c r="D124" s="107" t="s">
        <v>188</v>
      </c>
      <c r="E124" s="107" t="s">
        <v>261</v>
      </c>
      <c r="F124" s="100">
        <v>62773</v>
      </c>
      <c r="G124" s="100">
        <v>62773</v>
      </c>
      <c r="H124" s="25"/>
      <c r="I124" s="25"/>
      <c r="J124" s="25"/>
      <c r="K124" s="25"/>
      <c r="L124" s="25"/>
      <c r="M124" s="62"/>
      <c r="N124" s="62"/>
      <c r="O124" s="62"/>
      <c r="P124" s="25"/>
      <c r="Q124" s="25"/>
      <c r="R124" s="25"/>
      <c r="S124" s="24">
        <f t="shared" si="2"/>
        <v>62773</v>
      </c>
      <c r="T124" s="32">
        <v>0</v>
      </c>
      <c r="U124" s="46">
        <f t="shared" si="3"/>
        <v>62773</v>
      </c>
      <c r="V124" s="25"/>
      <c r="W124" s="32"/>
      <c r="X124" s="38"/>
    </row>
    <row r="125" spans="1:24" s="26" customFormat="1" x14ac:dyDescent="0.2">
      <c r="A125" s="21">
        <v>3</v>
      </c>
      <c r="B125" s="129" t="s">
        <v>59</v>
      </c>
      <c r="C125" s="107" t="s">
        <v>246</v>
      </c>
      <c r="D125" s="107" t="s">
        <v>188</v>
      </c>
      <c r="E125" s="107" t="s">
        <v>261</v>
      </c>
      <c r="F125" s="100">
        <v>154030</v>
      </c>
      <c r="G125" s="100">
        <v>154030</v>
      </c>
      <c r="H125" s="25"/>
      <c r="I125" s="25"/>
      <c r="J125" s="25"/>
      <c r="K125" s="25"/>
      <c r="L125" s="25"/>
      <c r="M125" s="62"/>
      <c r="N125" s="62"/>
      <c r="O125" s="62"/>
      <c r="P125" s="25"/>
      <c r="Q125" s="25"/>
      <c r="R125" s="25"/>
      <c r="S125" s="24">
        <f t="shared" si="2"/>
        <v>154030</v>
      </c>
      <c r="T125" s="32">
        <v>0</v>
      </c>
      <c r="U125" s="46">
        <f t="shared" si="3"/>
        <v>154030</v>
      </c>
      <c r="V125" s="25"/>
      <c r="W125" s="32"/>
      <c r="X125" s="38"/>
    </row>
    <row r="126" spans="1:24" s="26" customFormat="1" x14ac:dyDescent="0.2">
      <c r="A126" s="21">
        <v>4</v>
      </c>
      <c r="B126" s="129" t="s">
        <v>60</v>
      </c>
      <c r="C126" s="107"/>
      <c r="D126" s="107" t="s">
        <v>188</v>
      </c>
      <c r="E126" s="107" t="s">
        <v>261</v>
      </c>
      <c r="F126" s="100">
        <v>157723</v>
      </c>
      <c r="G126" s="100">
        <v>157723</v>
      </c>
      <c r="H126" s="25"/>
      <c r="I126" s="25"/>
      <c r="J126" s="25"/>
      <c r="K126" s="25"/>
      <c r="L126" s="25"/>
      <c r="M126" s="62"/>
      <c r="N126" s="62"/>
      <c r="O126" s="62"/>
      <c r="P126" s="25"/>
      <c r="Q126" s="25"/>
      <c r="R126" s="25"/>
      <c r="S126" s="24">
        <f t="shared" si="2"/>
        <v>157723</v>
      </c>
      <c r="T126" s="32">
        <v>0</v>
      </c>
      <c r="U126" s="46">
        <f t="shared" si="3"/>
        <v>157723</v>
      </c>
      <c r="V126" s="25"/>
      <c r="W126" s="32"/>
      <c r="X126" s="38"/>
    </row>
    <row r="127" spans="1:24" s="26" customFormat="1" x14ac:dyDescent="0.2">
      <c r="A127" s="21">
        <v>5</v>
      </c>
      <c r="B127" s="129" t="s">
        <v>61</v>
      </c>
      <c r="C127" s="107" t="s">
        <v>246</v>
      </c>
      <c r="D127" s="107" t="s">
        <v>188</v>
      </c>
      <c r="E127" s="107" t="s">
        <v>261</v>
      </c>
      <c r="F127" s="100">
        <v>187790</v>
      </c>
      <c r="G127" s="100">
        <v>187790</v>
      </c>
      <c r="H127" s="25"/>
      <c r="I127" s="25"/>
      <c r="J127" s="25"/>
      <c r="K127" s="25"/>
      <c r="L127" s="25"/>
      <c r="M127" s="62"/>
      <c r="N127" s="62"/>
      <c r="O127" s="62"/>
      <c r="P127" s="25"/>
      <c r="Q127" s="25"/>
      <c r="R127" s="25"/>
      <c r="S127" s="24">
        <f t="shared" si="2"/>
        <v>187790</v>
      </c>
      <c r="T127" s="32">
        <v>0</v>
      </c>
      <c r="U127" s="46">
        <f t="shared" si="3"/>
        <v>187790</v>
      </c>
      <c r="V127" s="25"/>
      <c r="W127" s="32"/>
      <c r="X127" s="38"/>
    </row>
    <row r="128" spans="1:24" s="26" customFormat="1" x14ac:dyDescent="0.2">
      <c r="A128" s="21">
        <v>6</v>
      </c>
      <c r="B128" s="129" t="s">
        <v>62</v>
      </c>
      <c r="C128" s="107" t="s">
        <v>246</v>
      </c>
      <c r="D128" s="107" t="s">
        <v>188</v>
      </c>
      <c r="E128" s="107" t="s">
        <v>261</v>
      </c>
      <c r="F128" s="100">
        <v>106028</v>
      </c>
      <c r="G128" s="100">
        <v>106028</v>
      </c>
      <c r="H128" s="25"/>
      <c r="I128" s="25"/>
      <c r="J128" s="25"/>
      <c r="K128" s="25"/>
      <c r="L128" s="25"/>
      <c r="M128" s="62"/>
      <c r="N128" s="62"/>
      <c r="O128" s="62"/>
      <c r="P128" s="25"/>
      <c r="Q128" s="25"/>
      <c r="R128" s="25"/>
      <c r="S128" s="24">
        <f t="shared" si="2"/>
        <v>106028</v>
      </c>
      <c r="T128" s="32">
        <v>0</v>
      </c>
      <c r="U128" s="46">
        <f t="shared" si="3"/>
        <v>106028</v>
      </c>
      <c r="V128" s="25"/>
      <c r="W128" s="32"/>
      <c r="X128" s="38"/>
    </row>
    <row r="129" spans="1:24" s="26" customFormat="1" x14ac:dyDescent="0.2">
      <c r="A129" s="21">
        <v>7</v>
      </c>
      <c r="B129" s="129" t="s">
        <v>63</v>
      </c>
      <c r="C129" s="107" t="s">
        <v>246</v>
      </c>
      <c r="D129" s="107" t="s">
        <v>188</v>
      </c>
      <c r="E129" s="107" t="s">
        <v>261</v>
      </c>
      <c r="F129" s="100">
        <v>114995</v>
      </c>
      <c r="G129" s="100">
        <v>114995</v>
      </c>
      <c r="H129" s="25"/>
      <c r="I129" s="25"/>
      <c r="J129" s="25"/>
      <c r="K129" s="25"/>
      <c r="L129" s="25"/>
      <c r="M129" s="62"/>
      <c r="N129" s="62"/>
      <c r="O129" s="62"/>
      <c r="P129" s="25"/>
      <c r="Q129" s="25"/>
      <c r="R129" s="25"/>
      <c r="S129" s="24">
        <f t="shared" si="2"/>
        <v>114995</v>
      </c>
      <c r="T129" s="32">
        <v>0</v>
      </c>
      <c r="U129" s="46">
        <f t="shared" si="3"/>
        <v>114995</v>
      </c>
      <c r="V129" s="25"/>
      <c r="W129" s="32"/>
      <c r="X129" s="38"/>
    </row>
    <row r="130" spans="1:24" s="26" customFormat="1" x14ac:dyDescent="0.2">
      <c r="A130" s="21">
        <v>8</v>
      </c>
      <c r="B130" s="129" t="s">
        <v>64</v>
      </c>
      <c r="C130" s="107" t="s">
        <v>246</v>
      </c>
      <c r="D130" s="107" t="s">
        <v>188</v>
      </c>
      <c r="E130" s="107" t="s">
        <v>261</v>
      </c>
      <c r="F130" s="100">
        <v>633000</v>
      </c>
      <c r="G130" s="100">
        <v>633000</v>
      </c>
      <c r="H130" s="25"/>
      <c r="I130" s="25"/>
      <c r="J130" s="25"/>
      <c r="K130" s="25"/>
      <c r="L130" s="25"/>
      <c r="M130" s="62"/>
      <c r="N130" s="62"/>
      <c r="O130" s="62"/>
      <c r="P130" s="25"/>
      <c r="Q130" s="25"/>
      <c r="R130" s="25"/>
      <c r="S130" s="24">
        <f t="shared" si="2"/>
        <v>633000</v>
      </c>
      <c r="T130" s="32">
        <v>0</v>
      </c>
      <c r="U130" s="46">
        <f t="shared" si="3"/>
        <v>633000</v>
      </c>
      <c r="V130" s="25"/>
      <c r="W130" s="32"/>
      <c r="X130" s="38"/>
    </row>
    <row r="131" spans="1:24" s="26" customFormat="1" x14ac:dyDescent="0.2">
      <c r="A131" s="21">
        <v>9</v>
      </c>
      <c r="B131" s="129" t="s">
        <v>65</v>
      </c>
      <c r="C131" s="107" t="s">
        <v>246</v>
      </c>
      <c r="D131" s="107" t="s">
        <v>188</v>
      </c>
      <c r="E131" s="107" t="s">
        <v>261</v>
      </c>
      <c r="F131" s="100">
        <v>62245</v>
      </c>
      <c r="G131" s="100">
        <v>62245</v>
      </c>
      <c r="H131" s="25"/>
      <c r="I131" s="25"/>
      <c r="J131" s="25"/>
      <c r="K131" s="25"/>
      <c r="L131" s="25"/>
      <c r="M131" s="62"/>
      <c r="N131" s="62"/>
      <c r="O131" s="62"/>
      <c r="P131" s="25"/>
      <c r="Q131" s="25"/>
      <c r="R131" s="25"/>
      <c r="S131" s="24">
        <f t="shared" si="2"/>
        <v>62245</v>
      </c>
      <c r="T131" s="32">
        <v>0</v>
      </c>
      <c r="U131" s="46">
        <f t="shared" si="3"/>
        <v>62245</v>
      </c>
      <c r="V131" s="25"/>
      <c r="W131" s="32"/>
      <c r="X131" s="38"/>
    </row>
    <row r="132" spans="1:24" s="26" customFormat="1" x14ac:dyDescent="0.2">
      <c r="A132" s="21">
        <v>10</v>
      </c>
      <c r="B132" s="129" t="s">
        <v>66</v>
      </c>
      <c r="C132" s="107" t="s">
        <v>246</v>
      </c>
      <c r="D132" s="107" t="s">
        <v>188</v>
      </c>
      <c r="E132" s="107" t="s">
        <v>261</v>
      </c>
      <c r="F132" s="100">
        <v>43785</v>
      </c>
      <c r="G132" s="100">
        <v>43785</v>
      </c>
      <c r="H132" s="25"/>
      <c r="I132" s="25"/>
      <c r="J132" s="25"/>
      <c r="K132" s="25"/>
      <c r="L132" s="25"/>
      <c r="M132" s="62"/>
      <c r="N132" s="62"/>
      <c r="O132" s="62"/>
      <c r="P132" s="25"/>
      <c r="Q132" s="25"/>
      <c r="R132" s="25"/>
      <c r="S132" s="24">
        <f t="shared" si="2"/>
        <v>43785</v>
      </c>
      <c r="T132" s="32">
        <v>0</v>
      </c>
      <c r="U132" s="46">
        <f t="shared" si="3"/>
        <v>43785</v>
      </c>
      <c r="V132" s="25"/>
      <c r="W132" s="32"/>
      <c r="X132" s="38"/>
    </row>
    <row r="133" spans="1:24" s="26" customFormat="1" x14ac:dyDescent="0.2">
      <c r="A133" s="21">
        <v>11</v>
      </c>
      <c r="B133" s="129" t="s">
        <v>67</v>
      </c>
      <c r="C133" s="107" t="s">
        <v>246</v>
      </c>
      <c r="D133" s="107" t="s">
        <v>188</v>
      </c>
      <c r="E133" s="107" t="s">
        <v>261</v>
      </c>
      <c r="F133" s="100">
        <v>29540</v>
      </c>
      <c r="G133" s="100">
        <v>29540</v>
      </c>
      <c r="H133" s="25"/>
      <c r="I133" s="25"/>
      <c r="J133" s="25"/>
      <c r="K133" s="25"/>
      <c r="L133" s="25"/>
      <c r="M133" s="62"/>
      <c r="N133" s="62"/>
      <c r="O133" s="62"/>
      <c r="P133" s="25"/>
      <c r="Q133" s="25"/>
      <c r="R133" s="25"/>
      <c r="S133" s="24">
        <f t="shared" si="2"/>
        <v>29540</v>
      </c>
      <c r="T133" s="32">
        <v>0</v>
      </c>
      <c r="U133" s="46">
        <f t="shared" si="3"/>
        <v>29540</v>
      </c>
      <c r="V133" s="25"/>
      <c r="W133" s="32"/>
      <c r="X133" s="38"/>
    </row>
    <row r="134" spans="1:24" s="26" customFormat="1" x14ac:dyDescent="0.2">
      <c r="A134" s="21">
        <v>12</v>
      </c>
      <c r="B134" s="129" t="s">
        <v>68</v>
      </c>
      <c r="C134" s="107" t="s">
        <v>246</v>
      </c>
      <c r="D134" s="107" t="s">
        <v>188</v>
      </c>
      <c r="E134" s="107" t="s">
        <v>261</v>
      </c>
      <c r="F134" s="100">
        <v>28485</v>
      </c>
      <c r="G134" s="100">
        <v>28485</v>
      </c>
      <c r="H134" s="25"/>
      <c r="I134" s="25"/>
      <c r="J134" s="25"/>
      <c r="K134" s="25"/>
      <c r="L134" s="25"/>
      <c r="M134" s="62"/>
      <c r="N134" s="62"/>
      <c r="O134" s="62"/>
      <c r="P134" s="25"/>
      <c r="Q134" s="25"/>
      <c r="R134" s="25"/>
      <c r="S134" s="24">
        <f t="shared" si="2"/>
        <v>28485</v>
      </c>
      <c r="T134" s="32">
        <v>0</v>
      </c>
      <c r="U134" s="46">
        <f t="shared" si="3"/>
        <v>28485</v>
      </c>
      <c r="V134" s="27"/>
      <c r="W134" s="33"/>
      <c r="X134" s="38"/>
    </row>
    <row r="135" spans="1:24" s="26" customFormat="1" x14ac:dyDescent="0.2">
      <c r="A135" s="21">
        <v>13</v>
      </c>
      <c r="B135" s="129" t="s">
        <v>69</v>
      </c>
      <c r="C135" s="107" t="s">
        <v>246</v>
      </c>
      <c r="D135" s="107" t="s">
        <v>189</v>
      </c>
      <c r="E135" s="107" t="s">
        <v>261</v>
      </c>
      <c r="F135" s="109">
        <v>308060</v>
      </c>
      <c r="G135" s="109">
        <v>308060</v>
      </c>
      <c r="H135" s="28"/>
      <c r="I135" s="28"/>
      <c r="J135" s="28"/>
      <c r="K135" s="28"/>
      <c r="L135" s="28"/>
      <c r="M135" s="63"/>
      <c r="N135" s="63"/>
      <c r="O135" s="63"/>
      <c r="P135" s="28"/>
      <c r="Q135" s="28"/>
      <c r="R135" s="28"/>
      <c r="S135" s="24">
        <f t="shared" si="2"/>
        <v>308060</v>
      </c>
      <c r="T135" s="32">
        <v>0</v>
      </c>
      <c r="U135" s="46">
        <f t="shared" si="3"/>
        <v>308060</v>
      </c>
      <c r="V135" s="27"/>
      <c r="W135" s="33"/>
      <c r="X135" s="38"/>
    </row>
    <row r="136" spans="1:24" s="26" customFormat="1" x14ac:dyDescent="0.2">
      <c r="A136" s="21">
        <v>14</v>
      </c>
      <c r="B136" s="129" t="s">
        <v>70</v>
      </c>
      <c r="C136" s="107" t="s">
        <v>246</v>
      </c>
      <c r="D136" s="107" t="s">
        <v>188</v>
      </c>
      <c r="E136" s="107" t="s">
        <v>261</v>
      </c>
      <c r="F136" s="109">
        <v>1068550</v>
      </c>
      <c r="G136" s="109">
        <v>1068550</v>
      </c>
      <c r="H136" s="28"/>
      <c r="I136" s="28"/>
      <c r="J136" s="28"/>
      <c r="K136" s="28"/>
      <c r="L136" s="28"/>
      <c r="M136" s="63"/>
      <c r="N136" s="63"/>
      <c r="O136" s="63"/>
      <c r="P136" s="28"/>
      <c r="Q136" s="28"/>
      <c r="R136" s="28"/>
      <c r="S136" s="24">
        <f t="shared" si="2"/>
        <v>1068550</v>
      </c>
      <c r="T136" s="32">
        <v>0</v>
      </c>
      <c r="U136" s="46">
        <f t="shared" si="3"/>
        <v>1068550</v>
      </c>
      <c r="V136" s="27"/>
      <c r="W136" s="33"/>
      <c r="X136" s="38"/>
    </row>
    <row r="137" spans="1:24" s="26" customFormat="1" x14ac:dyDescent="0.2">
      <c r="A137" s="21">
        <v>15</v>
      </c>
      <c r="B137" s="129" t="s">
        <v>71</v>
      </c>
      <c r="C137" s="107"/>
      <c r="D137" s="107" t="s">
        <v>188</v>
      </c>
      <c r="E137" s="107" t="s">
        <v>261</v>
      </c>
      <c r="F137" s="109">
        <v>1328000</v>
      </c>
      <c r="G137" s="109">
        <v>1328000</v>
      </c>
      <c r="H137" s="28"/>
      <c r="I137" s="28"/>
      <c r="J137" s="28"/>
      <c r="K137" s="28"/>
      <c r="L137" s="28"/>
      <c r="M137" s="63"/>
      <c r="N137" s="63"/>
      <c r="O137" s="63"/>
      <c r="P137" s="28"/>
      <c r="Q137" s="28"/>
      <c r="R137" s="28"/>
      <c r="S137" s="24">
        <f t="shared" si="2"/>
        <v>1328000</v>
      </c>
      <c r="T137" s="32">
        <v>0</v>
      </c>
      <c r="U137" s="46">
        <f t="shared" si="3"/>
        <v>1328000</v>
      </c>
      <c r="V137" s="27"/>
      <c r="W137" s="33"/>
      <c r="X137" s="38"/>
    </row>
    <row r="138" spans="1:24" s="26" customFormat="1" x14ac:dyDescent="0.2">
      <c r="A138" s="21">
        <v>16</v>
      </c>
      <c r="B138" s="135" t="s">
        <v>73</v>
      </c>
      <c r="C138" s="107" t="s">
        <v>246</v>
      </c>
      <c r="D138" s="107" t="s">
        <v>188</v>
      </c>
      <c r="E138" s="107" t="s">
        <v>261</v>
      </c>
      <c r="F138" s="109">
        <v>400900</v>
      </c>
      <c r="G138" s="109">
        <v>400900</v>
      </c>
      <c r="H138" s="28"/>
      <c r="I138" s="28"/>
      <c r="J138" s="28"/>
      <c r="K138" s="28"/>
      <c r="L138" s="28"/>
      <c r="M138" s="63"/>
      <c r="N138" s="63"/>
      <c r="O138" s="63"/>
      <c r="P138" s="28"/>
      <c r="Q138" s="28"/>
      <c r="R138" s="28"/>
      <c r="S138" s="24">
        <f t="shared" ref="S138:S144" si="4">SUM(F138:R138)/2</f>
        <v>400900</v>
      </c>
      <c r="T138" s="32">
        <v>0</v>
      </c>
      <c r="U138" s="46">
        <f t="shared" si="3"/>
        <v>400900</v>
      </c>
      <c r="V138" s="27"/>
      <c r="W138" s="27"/>
      <c r="X138" s="27"/>
    </row>
    <row r="139" spans="1:24" s="26" customFormat="1" x14ac:dyDescent="0.2">
      <c r="A139" s="21">
        <v>17</v>
      </c>
      <c r="B139" s="129" t="s">
        <v>72</v>
      </c>
      <c r="C139" s="107" t="s">
        <v>246</v>
      </c>
      <c r="D139" s="107" t="s">
        <v>188</v>
      </c>
      <c r="E139" s="107" t="s">
        <v>261</v>
      </c>
      <c r="F139" s="109">
        <v>189373</v>
      </c>
      <c r="G139" s="109">
        <v>189373</v>
      </c>
      <c r="H139" s="28"/>
      <c r="I139" s="28"/>
      <c r="J139" s="28"/>
      <c r="K139" s="28"/>
      <c r="L139" s="28"/>
      <c r="M139" s="63"/>
      <c r="N139" s="63"/>
      <c r="O139" s="63"/>
      <c r="P139" s="28"/>
      <c r="Q139" s="28"/>
      <c r="R139" s="28"/>
      <c r="S139" s="24">
        <f t="shared" si="4"/>
        <v>189373</v>
      </c>
      <c r="T139" s="32">
        <v>0</v>
      </c>
      <c r="U139" s="46">
        <f t="shared" si="3"/>
        <v>189373</v>
      </c>
      <c r="V139" s="27"/>
      <c r="W139" s="27"/>
      <c r="X139" s="27"/>
    </row>
    <row r="140" spans="1:24" x14ac:dyDescent="0.25">
      <c r="A140" s="21">
        <v>18</v>
      </c>
      <c r="B140" s="129" t="s">
        <v>74</v>
      </c>
      <c r="C140" s="107" t="s">
        <v>246</v>
      </c>
      <c r="D140" s="107" t="s">
        <v>188</v>
      </c>
      <c r="E140" s="107" t="s">
        <v>261</v>
      </c>
      <c r="F140" s="136">
        <v>107590</v>
      </c>
      <c r="G140" s="136">
        <v>107590</v>
      </c>
      <c r="H140" s="17"/>
      <c r="I140" s="17"/>
      <c r="J140" s="17"/>
      <c r="K140" s="17"/>
      <c r="L140" s="17"/>
      <c r="M140" s="64"/>
      <c r="N140" s="64"/>
      <c r="O140" s="64"/>
      <c r="P140" s="17"/>
      <c r="Q140" s="17"/>
      <c r="R140" s="17"/>
      <c r="S140" s="24">
        <f t="shared" si="4"/>
        <v>107590</v>
      </c>
      <c r="T140" s="32">
        <v>0</v>
      </c>
      <c r="U140" s="46">
        <f t="shared" ref="U140:U144" si="5">T140+S140</f>
        <v>107590</v>
      </c>
      <c r="V140" s="2"/>
      <c r="W140" s="2"/>
      <c r="X140" s="2"/>
    </row>
    <row r="141" spans="1:24" x14ac:dyDescent="0.25">
      <c r="A141" s="21">
        <v>19</v>
      </c>
      <c r="B141" s="129" t="s">
        <v>75</v>
      </c>
      <c r="C141" s="107" t="s">
        <v>246</v>
      </c>
      <c r="D141" s="107" t="s">
        <v>188</v>
      </c>
      <c r="E141" s="107" t="s">
        <v>261</v>
      </c>
      <c r="F141" s="136">
        <v>164053</v>
      </c>
      <c r="G141" s="136">
        <v>164830</v>
      </c>
      <c r="H141" s="17"/>
      <c r="I141" s="17"/>
      <c r="J141" s="17"/>
      <c r="K141" s="17"/>
      <c r="L141" s="17"/>
      <c r="M141" s="64"/>
      <c r="N141" s="64"/>
      <c r="O141" s="64"/>
      <c r="P141" s="17"/>
      <c r="Q141" s="17"/>
      <c r="R141" s="17"/>
      <c r="S141" s="24">
        <f t="shared" si="4"/>
        <v>164441.5</v>
      </c>
      <c r="T141" s="32">
        <v>0</v>
      </c>
      <c r="U141" s="46">
        <f t="shared" si="5"/>
        <v>164441.5</v>
      </c>
      <c r="V141" s="2"/>
      <c r="W141" s="2"/>
      <c r="X141" s="2"/>
    </row>
    <row r="142" spans="1:24" x14ac:dyDescent="0.25">
      <c r="A142" s="21">
        <v>20</v>
      </c>
      <c r="B142" s="129" t="s">
        <v>124</v>
      </c>
      <c r="C142" s="107" t="s">
        <v>246</v>
      </c>
      <c r="D142" s="107" t="s">
        <v>188</v>
      </c>
      <c r="E142" s="107" t="s">
        <v>261</v>
      </c>
      <c r="F142" s="136">
        <v>42200</v>
      </c>
      <c r="G142" s="123">
        <v>42200</v>
      </c>
      <c r="H142" s="47"/>
      <c r="I142" s="47"/>
      <c r="J142" s="17"/>
      <c r="K142" s="17"/>
      <c r="L142" s="17"/>
      <c r="M142" s="64"/>
      <c r="N142" s="64"/>
      <c r="O142" s="64"/>
      <c r="P142" s="17"/>
      <c r="Q142" s="17"/>
      <c r="R142" s="17"/>
      <c r="S142" s="24">
        <f t="shared" si="4"/>
        <v>42200</v>
      </c>
      <c r="T142" s="32">
        <v>0</v>
      </c>
      <c r="U142" s="46">
        <f t="shared" si="5"/>
        <v>42200</v>
      </c>
      <c r="V142" s="2"/>
      <c r="W142" s="2"/>
      <c r="X142" s="2"/>
    </row>
    <row r="143" spans="1:24" x14ac:dyDescent="0.25">
      <c r="A143" s="2"/>
      <c r="B143" s="129"/>
      <c r="C143" s="107"/>
      <c r="D143" s="107"/>
      <c r="E143" s="107"/>
      <c r="F143" s="136"/>
      <c r="G143" s="12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4">
        <f t="shared" si="4"/>
        <v>0</v>
      </c>
      <c r="T143" s="32"/>
      <c r="U143" s="46">
        <f t="shared" si="5"/>
        <v>0</v>
      </c>
      <c r="V143" s="2"/>
      <c r="W143" s="2"/>
      <c r="X143" s="2"/>
    </row>
    <row r="144" spans="1:24" x14ac:dyDescent="0.25">
      <c r="A144" s="2"/>
      <c r="B144" s="129" t="s">
        <v>397</v>
      </c>
      <c r="C144" s="107" t="s">
        <v>398</v>
      </c>
      <c r="D144" s="107" t="s">
        <v>188</v>
      </c>
      <c r="E144" s="107" t="s">
        <v>261</v>
      </c>
      <c r="F144" s="136">
        <v>59400</v>
      </c>
      <c r="G144" s="136">
        <v>59400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24">
        <f t="shared" si="4"/>
        <v>59400</v>
      </c>
      <c r="T144" s="32">
        <v>0</v>
      </c>
      <c r="U144" s="46">
        <f t="shared" si="5"/>
        <v>59400</v>
      </c>
      <c r="V144" s="2"/>
      <c r="W144" s="2"/>
      <c r="X144" s="2"/>
    </row>
    <row r="145" spans="1:24" x14ac:dyDescent="0.25">
      <c r="A145" s="2"/>
      <c r="B145" s="2"/>
      <c r="C145" s="29"/>
      <c r="D145" s="29"/>
      <c r="E145" s="2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137"/>
      <c r="B146" s="137" t="s">
        <v>422</v>
      </c>
      <c r="C146" s="138"/>
      <c r="D146" s="138"/>
      <c r="E146" s="138"/>
      <c r="F146" s="137"/>
      <c r="G146" s="13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137"/>
      <c r="B147" s="137" t="s">
        <v>423</v>
      </c>
      <c r="C147" s="138" t="s">
        <v>427</v>
      </c>
      <c r="D147" s="107" t="s">
        <v>188</v>
      </c>
      <c r="E147" s="138" t="s">
        <v>410</v>
      </c>
      <c r="F147" s="141">
        <v>116217</v>
      </c>
      <c r="G147" s="141">
        <v>116217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137"/>
      <c r="B148" s="137" t="s">
        <v>424</v>
      </c>
      <c r="C148" s="138" t="s">
        <v>427</v>
      </c>
      <c r="D148" s="107" t="s">
        <v>188</v>
      </c>
      <c r="E148" s="138" t="s">
        <v>410</v>
      </c>
      <c r="F148" s="141">
        <v>678543</v>
      </c>
      <c r="G148" s="141">
        <v>678543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137"/>
      <c r="B149" s="137" t="s">
        <v>425</v>
      </c>
      <c r="C149" s="138" t="s">
        <v>427</v>
      </c>
      <c r="D149" s="107" t="s">
        <v>188</v>
      </c>
      <c r="E149" s="138" t="s">
        <v>410</v>
      </c>
      <c r="F149" s="141">
        <v>736374</v>
      </c>
      <c r="G149" s="141">
        <v>736374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137"/>
      <c r="B150" s="137" t="s">
        <v>426</v>
      </c>
      <c r="C150" s="138" t="s">
        <v>427</v>
      </c>
      <c r="D150" s="107" t="s">
        <v>188</v>
      </c>
      <c r="E150" s="138" t="s">
        <v>410</v>
      </c>
      <c r="F150" s="141">
        <v>796203</v>
      </c>
      <c r="G150" s="141">
        <v>796203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6"/>
      <c r="C151" s="29"/>
      <c r="D151" s="22"/>
      <c r="E151" s="22"/>
      <c r="F151" s="2"/>
      <c r="G151" s="2"/>
      <c r="H151" s="2"/>
      <c r="I151" s="2"/>
      <c r="J151" s="17"/>
      <c r="K151" s="17"/>
      <c r="L151" s="1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5" spans="1:24" x14ac:dyDescent="0.25">
      <c r="G155" s="1" t="s">
        <v>387</v>
      </c>
      <c r="K155" s="1" t="s">
        <v>389</v>
      </c>
      <c r="O155" s="1" t="s">
        <v>388</v>
      </c>
    </row>
    <row r="159" spans="1:24" x14ac:dyDescent="0.25">
      <c r="G159" s="1" t="s">
        <v>390</v>
      </c>
      <c r="K159" s="1" t="s">
        <v>391</v>
      </c>
      <c r="O159" s="1" t="s">
        <v>392</v>
      </c>
    </row>
  </sheetData>
  <autoFilter ref="B2:B151"/>
  <mergeCells count="8">
    <mergeCell ref="S4:U4"/>
    <mergeCell ref="V4:X4"/>
    <mergeCell ref="C4:C6"/>
    <mergeCell ref="A4:A6"/>
    <mergeCell ref="B4:B6"/>
    <mergeCell ref="D4:D6"/>
    <mergeCell ref="E4:E6"/>
    <mergeCell ref="G4:R4"/>
  </mergeCells>
  <pageMargins left="0.25" right="0.25" top="0.75" bottom="0.75" header="0.3" footer="0.3"/>
  <pageSetup paperSize="9" scale="4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60"/>
  <sheetViews>
    <sheetView tabSelected="1" topLeftCell="A19" zoomScale="90" zoomScaleNormal="90" workbookViewId="0">
      <selection activeCell="K45" sqref="K45"/>
    </sheetView>
  </sheetViews>
  <sheetFormatPr defaultRowHeight="15" x14ac:dyDescent="0.25"/>
  <cols>
    <col min="1" max="1" width="5.7109375" style="1" customWidth="1"/>
    <col min="2" max="2" width="41.28515625" style="1" customWidth="1"/>
    <col min="3" max="3" width="18.85546875" style="1" customWidth="1"/>
    <col min="4" max="4" width="19.42578125" style="44" customWidth="1"/>
    <col min="5" max="5" width="14.42578125" style="44" customWidth="1"/>
    <col min="6" max="6" width="13.42578125" style="1" hidden="1" customWidth="1"/>
    <col min="7" max="7" width="13.42578125" style="1" customWidth="1"/>
    <col min="8" max="8" width="16.28515625" style="1" customWidth="1"/>
    <col min="9" max="9" width="16.5703125" style="1" customWidth="1"/>
    <col min="10" max="10" width="15.7109375" style="1" customWidth="1"/>
    <col min="11" max="11" width="14.7109375" style="1" customWidth="1"/>
    <col min="12" max="12" width="14" style="1" customWidth="1"/>
    <col min="13" max="13" width="16" style="1" customWidth="1"/>
    <col min="14" max="14" width="15.140625" style="1" customWidth="1"/>
    <col min="15" max="15" width="14.5703125" style="1" customWidth="1"/>
    <col min="16" max="19" width="12.28515625" style="1" customWidth="1"/>
    <col min="20" max="20" width="15.42578125" style="1" customWidth="1"/>
    <col min="21" max="21" width="10.28515625" style="1" customWidth="1"/>
    <col min="22" max="22" width="12" style="1" customWidth="1"/>
    <col min="23" max="23" width="15.42578125" style="1" customWidth="1"/>
    <col min="24" max="24" width="10.28515625" style="1" customWidth="1"/>
    <col min="25" max="25" width="12" style="1" customWidth="1"/>
    <col min="26" max="16384" width="9.140625" style="1"/>
  </cols>
  <sheetData>
    <row r="2" spans="1:25" ht="18.75" x14ac:dyDescent="0.3">
      <c r="B2" s="5" t="s">
        <v>348</v>
      </c>
      <c r="C2" s="5"/>
      <c r="D2" s="43"/>
      <c r="E2" s="43"/>
      <c r="F2" s="5"/>
      <c r="G2" s="5"/>
    </row>
    <row r="3" spans="1:25" ht="15.75" thickBot="1" x14ac:dyDescent="0.3">
      <c r="U3" s="45" t="s">
        <v>181</v>
      </c>
      <c r="V3" s="61">
        <v>45979</v>
      </c>
    </row>
    <row r="4" spans="1:25" ht="29.25" customHeight="1" thickBot="1" x14ac:dyDescent="0.3">
      <c r="A4" s="161" t="s">
        <v>0</v>
      </c>
      <c r="B4" s="161" t="s">
        <v>1</v>
      </c>
      <c r="C4" s="161" t="s">
        <v>175</v>
      </c>
      <c r="D4" s="164" t="s">
        <v>403</v>
      </c>
      <c r="E4" s="161" t="s">
        <v>41</v>
      </c>
      <c r="F4" s="169" t="s">
        <v>41</v>
      </c>
      <c r="G4" s="139"/>
      <c r="H4" s="167" t="s">
        <v>171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8"/>
      <c r="T4" s="158" t="s">
        <v>170</v>
      </c>
      <c r="U4" s="158"/>
      <c r="V4" s="159"/>
      <c r="W4" s="160" t="s">
        <v>179</v>
      </c>
      <c r="X4" s="158"/>
      <c r="Y4" s="159"/>
    </row>
    <row r="5" spans="1:25" ht="15.75" customHeight="1" thickBot="1" x14ac:dyDescent="0.3">
      <c r="A5" s="162"/>
      <c r="B5" s="162"/>
      <c r="C5" s="162"/>
      <c r="D5" s="165"/>
      <c r="E5" s="162"/>
      <c r="F5" s="170"/>
      <c r="G5" s="117"/>
      <c r="H5" s="118"/>
      <c r="I5" s="118"/>
      <c r="J5" s="118"/>
      <c r="K5" s="19"/>
      <c r="L5" s="19"/>
      <c r="M5" s="19"/>
      <c r="N5" s="19"/>
      <c r="O5" s="19"/>
      <c r="P5" s="19"/>
      <c r="Q5" s="19"/>
      <c r="R5" s="19"/>
      <c r="S5" s="19"/>
      <c r="T5" s="30"/>
      <c r="U5" s="20"/>
      <c r="V5" s="31"/>
      <c r="W5" s="30"/>
      <c r="X5" s="20"/>
      <c r="Y5" s="31"/>
    </row>
    <row r="6" spans="1:25" ht="45.75" customHeight="1" thickBot="1" x14ac:dyDescent="0.3">
      <c r="A6" s="163"/>
      <c r="B6" s="163"/>
      <c r="C6" s="163"/>
      <c r="D6" s="166"/>
      <c r="E6" s="163"/>
      <c r="F6" s="163"/>
      <c r="G6" s="140" t="s">
        <v>428</v>
      </c>
      <c r="H6" s="114" t="s">
        <v>80</v>
      </c>
      <c r="I6" s="115" t="s">
        <v>83</v>
      </c>
      <c r="J6" s="140" t="s">
        <v>145</v>
      </c>
      <c r="K6" s="36" t="s">
        <v>146</v>
      </c>
      <c r="L6" s="36" t="s">
        <v>147</v>
      </c>
      <c r="M6" s="36" t="s">
        <v>174</v>
      </c>
      <c r="N6" s="36" t="s">
        <v>148</v>
      </c>
      <c r="O6" s="36" t="s">
        <v>149</v>
      </c>
      <c r="P6" s="36" t="s">
        <v>162</v>
      </c>
      <c r="Q6" s="41" t="s">
        <v>168</v>
      </c>
      <c r="R6" s="41" t="s">
        <v>167</v>
      </c>
      <c r="S6" s="42" t="s">
        <v>169</v>
      </c>
      <c r="T6" s="34" t="s">
        <v>180</v>
      </c>
      <c r="U6" s="36" t="s">
        <v>172</v>
      </c>
      <c r="V6" s="37" t="s">
        <v>173</v>
      </c>
      <c r="W6" s="34" t="s">
        <v>180</v>
      </c>
      <c r="X6" s="36" t="s">
        <v>172</v>
      </c>
      <c r="Y6" s="37" t="s">
        <v>173</v>
      </c>
    </row>
    <row r="7" spans="1:25" s="26" customFormat="1" ht="20.25" customHeight="1" x14ac:dyDescent="0.25">
      <c r="A7" s="21">
        <v>1</v>
      </c>
      <c r="B7" s="6" t="s">
        <v>300</v>
      </c>
      <c r="C7" s="10" t="s">
        <v>248</v>
      </c>
      <c r="D7" s="22" t="s">
        <v>284</v>
      </c>
      <c r="E7" s="22" t="s">
        <v>315</v>
      </c>
      <c r="F7" s="22"/>
      <c r="G7" s="50">
        <v>12000</v>
      </c>
      <c r="H7" s="24">
        <v>12000</v>
      </c>
      <c r="I7" s="24"/>
      <c r="J7" s="24"/>
      <c r="K7" s="24"/>
      <c r="L7" s="24"/>
      <c r="M7" s="40"/>
      <c r="N7" s="40"/>
      <c r="O7" s="40"/>
      <c r="P7" s="40"/>
      <c r="Q7" s="40"/>
      <c r="R7" s="40"/>
      <c r="S7" s="23"/>
      <c r="T7" s="23">
        <f>SUM(G7:S7)/2</f>
        <v>12000</v>
      </c>
      <c r="U7" s="35">
        <v>0</v>
      </c>
      <c r="V7" s="39">
        <f>U7+T7</f>
        <v>12000</v>
      </c>
      <c r="W7" s="23"/>
      <c r="X7" s="35">
        <v>5000</v>
      </c>
      <c r="Y7" s="39">
        <f>X7+W7</f>
        <v>5000</v>
      </c>
    </row>
    <row r="8" spans="1:25" s="26" customFormat="1" ht="20.25" customHeight="1" x14ac:dyDescent="0.25">
      <c r="A8" s="21">
        <v>2</v>
      </c>
      <c r="B8" s="7" t="s">
        <v>301</v>
      </c>
      <c r="C8" s="10" t="s">
        <v>248</v>
      </c>
      <c r="D8" s="22" t="s">
        <v>284</v>
      </c>
      <c r="E8" s="22" t="s">
        <v>315</v>
      </c>
      <c r="F8" s="22"/>
      <c r="G8" s="50">
        <v>12000</v>
      </c>
      <c r="H8" s="24">
        <v>12000</v>
      </c>
      <c r="I8" s="24"/>
      <c r="J8" s="24"/>
      <c r="K8" s="24"/>
      <c r="L8" s="24"/>
      <c r="M8" s="40"/>
      <c r="N8" s="40"/>
      <c r="O8" s="40"/>
      <c r="P8" s="40"/>
      <c r="Q8" s="40"/>
      <c r="R8" s="40"/>
      <c r="S8" s="23"/>
      <c r="T8" s="23">
        <f t="shared" ref="T8:T51" si="0">SUM(G8:S8)/2</f>
        <v>12000</v>
      </c>
      <c r="U8" s="32">
        <v>0</v>
      </c>
      <c r="V8" s="46">
        <f t="shared" ref="V8:V51" si="1">U8+T8</f>
        <v>12000</v>
      </c>
      <c r="W8" s="25"/>
      <c r="X8" s="32">
        <v>0</v>
      </c>
      <c r="Y8" s="38"/>
    </row>
    <row r="9" spans="1:25" s="26" customFormat="1" ht="20.25" customHeight="1" x14ac:dyDescent="0.25">
      <c r="A9" s="21">
        <v>3</v>
      </c>
      <c r="B9" s="7" t="s">
        <v>302</v>
      </c>
      <c r="C9" s="10" t="s">
        <v>248</v>
      </c>
      <c r="D9" s="22" t="s">
        <v>284</v>
      </c>
      <c r="E9" s="22" t="s">
        <v>315</v>
      </c>
      <c r="F9" s="22"/>
      <c r="G9" s="50">
        <v>12000</v>
      </c>
      <c r="H9" s="24">
        <v>12000</v>
      </c>
      <c r="I9" s="24"/>
      <c r="J9" s="24"/>
      <c r="K9" s="24"/>
      <c r="L9" s="24"/>
      <c r="M9" s="40"/>
      <c r="N9" s="40"/>
      <c r="O9" s="40"/>
      <c r="P9" s="40"/>
      <c r="Q9" s="40"/>
      <c r="R9" s="40"/>
      <c r="S9" s="23"/>
      <c r="T9" s="23">
        <f t="shared" si="0"/>
        <v>12000</v>
      </c>
      <c r="U9" s="32">
        <v>0</v>
      </c>
      <c r="V9" s="46">
        <f t="shared" si="1"/>
        <v>12000</v>
      </c>
      <c r="W9" s="25"/>
      <c r="X9" s="32"/>
      <c r="Y9" s="38"/>
    </row>
    <row r="10" spans="1:25" s="26" customFormat="1" ht="20.25" customHeight="1" x14ac:dyDescent="0.25">
      <c r="A10" s="21">
        <v>5</v>
      </c>
      <c r="B10" s="7" t="s">
        <v>303</v>
      </c>
      <c r="C10" s="10" t="s">
        <v>248</v>
      </c>
      <c r="D10" s="22" t="s">
        <v>284</v>
      </c>
      <c r="E10" s="22" t="s">
        <v>315</v>
      </c>
      <c r="F10" s="22"/>
      <c r="G10" s="50">
        <v>12000</v>
      </c>
      <c r="H10" s="24">
        <v>12000</v>
      </c>
      <c r="I10" s="24"/>
      <c r="J10" s="24"/>
      <c r="K10" s="24"/>
      <c r="L10" s="24"/>
      <c r="M10" s="40"/>
      <c r="N10" s="40"/>
      <c r="O10" s="40"/>
      <c r="P10" s="40"/>
      <c r="Q10" s="40"/>
      <c r="R10" s="40"/>
      <c r="S10" s="23"/>
      <c r="T10" s="23">
        <f t="shared" si="0"/>
        <v>12000</v>
      </c>
      <c r="U10" s="32">
        <v>0</v>
      </c>
      <c r="V10" s="46">
        <f t="shared" si="1"/>
        <v>12000</v>
      </c>
      <c r="W10" s="25"/>
      <c r="X10" s="32"/>
      <c r="Y10" s="38"/>
    </row>
    <row r="11" spans="1:25" s="26" customFormat="1" ht="20.25" customHeight="1" x14ac:dyDescent="0.25">
      <c r="A11" s="21">
        <v>6</v>
      </c>
      <c r="B11" s="7" t="s">
        <v>298</v>
      </c>
      <c r="C11" s="10" t="s">
        <v>248</v>
      </c>
      <c r="D11" s="22" t="s">
        <v>284</v>
      </c>
      <c r="E11" s="22" t="s">
        <v>315</v>
      </c>
      <c r="F11" s="22"/>
      <c r="G11" s="50">
        <v>6500</v>
      </c>
      <c r="H11" s="24">
        <v>6500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3"/>
      <c r="T11" s="23">
        <f t="shared" si="0"/>
        <v>6500</v>
      </c>
      <c r="U11" s="32">
        <v>0</v>
      </c>
      <c r="V11" s="46">
        <f t="shared" si="1"/>
        <v>6500</v>
      </c>
      <c r="W11" s="25"/>
      <c r="X11" s="32"/>
      <c r="Y11" s="38"/>
    </row>
    <row r="12" spans="1:25" s="26" customFormat="1" ht="20.25" customHeight="1" x14ac:dyDescent="0.25">
      <c r="A12" s="21">
        <v>7</v>
      </c>
      <c r="B12" s="7" t="s">
        <v>299</v>
      </c>
      <c r="C12" s="10" t="s">
        <v>248</v>
      </c>
      <c r="D12" s="22" t="s">
        <v>284</v>
      </c>
      <c r="E12" s="22" t="s">
        <v>315</v>
      </c>
      <c r="F12" s="22"/>
      <c r="G12" s="50">
        <v>6500</v>
      </c>
      <c r="H12" s="24">
        <v>6500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3"/>
      <c r="T12" s="23">
        <f t="shared" si="0"/>
        <v>6500</v>
      </c>
      <c r="U12" s="32">
        <v>0</v>
      </c>
      <c r="V12" s="46">
        <f t="shared" si="1"/>
        <v>6500</v>
      </c>
      <c r="W12" s="25"/>
      <c r="X12" s="32"/>
      <c r="Y12" s="38"/>
    </row>
    <row r="13" spans="1:25" s="26" customFormat="1" ht="20.25" customHeight="1" x14ac:dyDescent="0.25">
      <c r="A13" s="21"/>
      <c r="B13" s="7" t="s">
        <v>430</v>
      </c>
      <c r="C13" s="10" t="s">
        <v>431</v>
      </c>
      <c r="D13" s="22" t="s">
        <v>189</v>
      </c>
      <c r="E13" s="22" t="s">
        <v>432</v>
      </c>
      <c r="F13" s="22"/>
      <c r="G13" s="50">
        <v>75000</v>
      </c>
      <c r="H13" s="24">
        <v>75000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3"/>
      <c r="T13" s="23">
        <f t="shared" si="0"/>
        <v>75000</v>
      </c>
      <c r="U13" s="32"/>
      <c r="V13" s="46"/>
      <c r="W13" s="25"/>
      <c r="X13" s="32"/>
      <c r="Y13" s="38"/>
    </row>
    <row r="14" spans="1:25" s="26" customFormat="1" ht="20.25" customHeight="1" x14ac:dyDescent="0.25">
      <c r="A14" s="21"/>
      <c r="B14" s="7" t="s">
        <v>430</v>
      </c>
      <c r="C14" s="10" t="s">
        <v>431</v>
      </c>
      <c r="D14" s="22" t="s">
        <v>189</v>
      </c>
      <c r="E14" s="22" t="s">
        <v>432</v>
      </c>
      <c r="F14" s="22"/>
      <c r="G14" s="50">
        <v>75000</v>
      </c>
      <c r="H14" s="24">
        <v>75000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3"/>
      <c r="T14" s="23">
        <f t="shared" si="0"/>
        <v>75000</v>
      </c>
      <c r="U14" s="32"/>
      <c r="V14" s="46"/>
      <c r="W14" s="25"/>
      <c r="X14" s="32"/>
      <c r="Y14" s="38"/>
    </row>
    <row r="15" spans="1:25" s="26" customFormat="1" ht="24" customHeight="1" x14ac:dyDescent="0.25">
      <c r="A15" s="21">
        <v>8</v>
      </c>
      <c r="B15" s="7" t="s">
        <v>154</v>
      </c>
      <c r="C15" s="22" t="s">
        <v>305</v>
      </c>
      <c r="D15" s="22" t="s">
        <v>189</v>
      </c>
      <c r="E15" s="22" t="s">
        <v>316</v>
      </c>
      <c r="F15" s="22"/>
      <c r="G15" s="50">
        <v>3750</v>
      </c>
      <c r="H15" s="25">
        <f>75000/20</f>
        <v>3750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3"/>
      <c r="T15" s="23">
        <f t="shared" si="0"/>
        <v>3750</v>
      </c>
      <c r="U15" s="32">
        <v>0</v>
      </c>
      <c r="V15" s="46">
        <f t="shared" si="1"/>
        <v>3750</v>
      </c>
      <c r="W15" s="25"/>
      <c r="X15" s="32"/>
      <c r="Y15" s="38"/>
    </row>
    <row r="16" spans="1:25" s="26" customFormat="1" ht="18.75" customHeight="1" x14ac:dyDescent="0.25">
      <c r="A16" s="21">
        <v>9</v>
      </c>
      <c r="B16" s="7" t="s">
        <v>135</v>
      </c>
      <c r="C16" s="10" t="s">
        <v>248</v>
      </c>
      <c r="D16" s="22" t="s">
        <v>284</v>
      </c>
      <c r="E16" s="22" t="s">
        <v>316</v>
      </c>
      <c r="F16" s="22"/>
      <c r="G16" s="50">
        <v>165000</v>
      </c>
      <c r="H16" s="25">
        <v>165000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3">
        <f t="shared" si="0"/>
        <v>165000</v>
      </c>
      <c r="U16" s="32">
        <v>0</v>
      </c>
      <c r="V16" s="46">
        <f t="shared" si="1"/>
        <v>165000</v>
      </c>
      <c r="W16" s="25"/>
      <c r="X16" s="32"/>
      <c r="Y16" s="38"/>
    </row>
    <row r="17" spans="1:27" s="26" customFormat="1" ht="18.75" customHeight="1" x14ac:dyDescent="0.25">
      <c r="A17" s="21">
        <v>10</v>
      </c>
      <c r="B17" s="7" t="s">
        <v>286</v>
      </c>
      <c r="C17" s="10" t="s">
        <v>248</v>
      </c>
      <c r="D17" s="22" t="s">
        <v>284</v>
      </c>
      <c r="E17" s="22" t="s">
        <v>316</v>
      </c>
      <c r="F17" s="22"/>
      <c r="G17" s="50">
        <v>165000</v>
      </c>
      <c r="H17" s="25">
        <v>165000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3">
        <f t="shared" si="0"/>
        <v>165000</v>
      </c>
      <c r="U17" s="32">
        <v>0</v>
      </c>
      <c r="V17" s="46">
        <f t="shared" si="1"/>
        <v>165000</v>
      </c>
      <c r="W17" s="25"/>
      <c r="X17" s="32"/>
      <c r="Y17" s="38"/>
    </row>
    <row r="18" spans="1:27" s="26" customFormat="1" ht="18.75" customHeight="1" x14ac:dyDescent="0.25">
      <c r="A18" s="21">
        <v>11</v>
      </c>
      <c r="B18" s="7" t="s">
        <v>288</v>
      </c>
      <c r="C18" s="10" t="s">
        <v>248</v>
      </c>
      <c r="D18" s="22" t="s">
        <v>284</v>
      </c>
      <c r="E18" s="22" t="s">
        <v>316</v>
      </c>
      <c r="F18" s="22"/>
      <c r="G18" s="50">
        <v>165000</v>
      </c>
      <c r="H18" s="25">
        <v>165000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3">
        <f t="shared" si="0"/>
        <v>165000</v>
      </c>
      <c r="U18" s="32">
        <v>0</v>
      </c>
      <c r="V18" s="46">
        <f t="shared" si="1"/>
        <v>165000</v>
      </c>
      <c r="W18" s="25"/>
      <c r="X18" s="32"/>
      <c r="Y18" s="38"/>
    </row>
    <row r="19" spans="1:27" s="26" customFormat="1" ht="18.75" customHeight="1" x14ac:dyDescent="0.25">
      <c r="A19" s="21">
        <v>12</v>
      </c>
      <c r="B19" s="7" t="s">
        <v>290</v>
      </c>
      <c r="C19" s="10" t="s">
        <v>248</v>
      </c>
      <c r="D19" s="22" t="s">
        <v>284</v>
      </c>
      <c r="E19" s="22" t="s">
        <v>316</v>
      </c>
      <c r="F19" s="22"/>
      <c r="G19" s="50">
        <v>165000</v>
      </c>
      <c r="H19" s="25">
        <v>165000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3">
        <f t="shared" si="0"/>
        <v>165000</v>
      </c>
      <c r="U19" s="32">
        <v>0</v>
      </c>
      <c r="V19" s="46">
        <f t="shared" si="1"/>
        <v>165000</v>
      </c>
      <c r="W19" s="25"/>
      <c r="X19" s="32"/>
      <c r="Y19" s="38"/>
    </row>
    <row r="20" spans="1:27" s="26" customFormat="1" ht="16.5" customHeight="1" x14ac:dyDescent="0.25">
      <c r="A20" s="21">
        <v>13</v>
      </c>
      <c r="B20" s="7" t="s">
        <v>291</v>
      </c>
      <c r="C20" s="10" t="s">
        <v>248</v>
      </c>
      <c r="D20" s="22" t="s">
        <v>284</v>
      </c>
      <c r="E20" s="22" t="s">
        <v>316</v>
      </c>
      <c r="F20" s="22"/>
      <c r="G20" s="50">
        <v>165000</v>
      </c>
      <c r="H20" s="25">
        <v>165000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3">
        <f t="shared" si="0"/>
        <v>165000</v>
      </c>
      <c r="U20" s="32">
        <v>0</v>
      </c>
      <c r="V20" s="46">
        <f t="shared" si="1"/>
        <v>165000</v>
      </c>
      <c r="W20" s="25"/>
      <c r="X20" s="32"/>
      <c r="Y20" s="38"/>
    </row>
    <row r="21" spans="1:27" s="26" customFormat="1" ht="18" customHeight="1" x14ac:dyDescent="0.25">
      <c r="A21" s="21">
        <v>14</v>
      </c>
      <c r="B21" s="7" t="s">
        <v>294</v>
      </c>
      <c r="C21" s="10" t="s">
        <v>248</v>
      </c>
      <c r="D21" s="22" t="s">
        <v>284</v>
      </c>
      <c r="E21" s="22" t="s">
        <v>316</v>
      </c>
      <c r="F21" s="22"/>
      <c r="G21" s="50">
        <v>165000</v>
      </c>
      <c r="H21" s="25">
        <v>165000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3">
        <f t="shared" si="0"/>
        <v>165000</v>
      </c>
      <c r="U21" s="32">
        <v>0</v>
      </c>
      <c r="V21" s="46">
        <f t="shared" si="1"/>
        <v>165000</v>
      </c>
      <c r="W21" s="25"/>
      <c r="X21" s="32"/>
      <c r="Y21" s="38"/>
    </row>
    <row r="22" spans="1:27" s="26" customFormat="1" ht="18" customHeight="1" x14ac:dyDescent="0.25">
      <c r="A22" s="21">
        <v>15</v>
      </c>
      <c r="B22" s="7" t="s">
        <v>307</v>
      </c>
      <c r="C22" s="10" t="s">
        <v>248</v>
      </c>
      <c r="D22" s="22" t="s">
        <v>284</v>
      </c>
      <c r="E22" s="22" t="s">
        <v>316</v>
      </c>
      <c r="F22" s="22"/>
      <c r="G22" s="50">
        <v>165000</v>
      </c>
      <c r="H22" s="25">
        <v>165000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3">
        <f t="shared" si="0"/>
        <v>165000</v>
      </c>
      <c r="U22" s="32">
        <v>0</v>
      </c>
      <c r="V22" s="46">
        <f t="shared" si="1"/>
        <v>165000</v>
      </c>
      <c r="W22" s="25"/>
      <c r="X22" s="32"/>
      <c r="Y22" s="38"/>
    </row>
    <row r="23" spans="1:27" s="26" customFormat="1" ht="16.5" customHeight="1" x14ac:dyDescent="0.25">
      <c r="A23" s="21">
        <v>16</v>
      </c>
      <c r="B23" s="7" t="s">
        <v>289</v>
      </c>
      <c r="C23" s="10" t="s">
        <v>248</v>
      </c>
      <c r="D23" s="22" t="s">
        <v>284</v>
      </c>
      <c r="E23" s="22" t="s">
        <v>316</v>
      </c>
      <c r="F23" s="22"/>
      <c r="G23" s="50">
        <v>110000</v>
      </c>
      <c r="H23" s="25">
        <v>110000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3">
        <f t="shared" si="0"/>
        <v>110000</v>
      </c>
      <c r="U23" s="32">
        <v>0</v>
      </c>
      <c r="V23" s="46">
        <f t="shared" si="1"/>
        <v>110000</v>
      </c>
      <c r="W23" s="25"/>
      <c r="X23" s="32"/>
      <c r="Y23" s="38"/>
    </row>
    <row r="24" spans="1:27" s="26" customFormat="1" ht="19.5" customHeight="1" x14ac:dyDescent="0.25">
      <c r="A24" s="21">
        <v>17</v>
      </c>
      <c r="B24" s="7" t="s">
        <v>309</v>
      </c>
      <c r="C24" s="10" t="s">
        <v>248</v>
      </c>
      <c r="D24" s="22" t="s">
        <v>284</v>
      </c>
      <c r="E24" s="22" t="s">
        <v>316</v>
      </c>
      <c r="F24" s="22"/>
      <c r="G24" s="50">
        <v>110000</v>
      </c>
      <c r="H24" s="25">
        <v>110000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3">
        <f t="shared" si="0"/>
        <v>110000</v>
      </c>
      <c r="U24" s="32">
        <v>0</v>
      </c>
      <c r="V24" s="46">
        <f t="shared" si="1"/>
        <v>110000</v>
      </c>
      <c r="W24" s="25"/>
      <c r="X24" s="32"/>
      <c r="Y24" s="38"/>
    </row>
    <row r="25" spans="1:27" s="26" customFormat="1" ht="19.5" customHeight="1" x14ac:dyDescent="0.25">
      <c r="A25" s="21">
        <v>18</v>
      </c>
      <c r="B25" s="7" t="s">
        <v>310</v>
      </c>
      <c r="C25" s="10" t="s">
        <v>248</v>
      </c>
      <c r="D25" s="22" t="s">
        <v>284</v>
      </c>
      <c r="E25" s="22" t="s">
        <v>316</v>
      </c>
      <c r="F25" s="22"/>
      <c r="G25" s="50">
        <v>165000</v>
      </c>
      <c r="H25" s="28">
        <v>165000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3">
        <f t="shared" si="0"/>
        <v>165000</v>
      </c>
      <c r="U25" s="32">
        <v>0</v>
      </c>
      <c r="V25" s="46">
        <f t="shared" si="1"/>
        <v>165000</v>
      </c>
      <c r="W25" s="25"/>
      <c r="X25" s="32"/>
      <c r="Y25" s="38"/>
    </row>
    <row r="26" spans="1:27" s="26" customFormat="1" ht="19.5" customHeight="1" x14ac:dyDescent="0.25">
      <c r="A26" s="21">
        <v>19</v>
      </c>
      <c r="B26" s="7" t="s">
        <v>311</v>
      </c>
      <c r="C26" s="10" t="s">
        <v>248</v>
      </c>
      <c r="D26" s="22" t="s">
        <v>284</v>
      </c>
      <c r="E26" s="22" t="s">
        <v>316</v>
      </c>
      <c r="F26" s="22"/>
      <c r="G26" s="50">
        <v>165000</v>
      </c>
      <c r="H26" s="28">
        <v>165000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3">
        <f t="shared" si="0"/>
        <v>165000</v>
      </c>
      <c r="U26" s="32">
        <v>0</v>
      </c>
      <c r="V26" s="46">
        <f t="shared" si="1"/>
        <v>165000</v>
      </c>
      <c r="W26" s="25"/>
      <c r="X26" s="32"/>
      <c r="Y26" s="38"/>
    </row>
    <row r="27" spans="1:27" s="26" customFormat="1" ht="19.5" customHeight="1" x14ac:dyDescent="0.25">
      <c r="A27" s="21">
        <v>20</v>
      </c>
      <c r="B27" s="7" t="s">
        <v>312</v>
      </c>
      <c r="C27" s="10" t="s">
        <v>248</v>
      </c>
      <c r="D27" s="22" t="s">
        <v>284</v>
      </c>
      <c r="E27" s="22" t="s">
        <v>316</v>
      </c>
      <c r="F27" s="22"/>
      <c r="G27" s="50">
        <v>165000</v>
      </c>
      <c r="H27" s="28">
        <v>165000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3">
        <f t="shared" si="0"/>
        <v>165000</v>
      </c>
      <c r="U27" s="32">
        <v>0</v>
      </c>
      <c r="V27" s="46">
        <f t="shared" si="1"/>
        <v>165000</v>
      </c>
      <c r="W27" s="25"/>
      <c r="X27" s="32"/>
      <c r="Y27" s="38"/>
    </row>
    <row r="28" spans="1:27" s="26" customFormat="1" ht="19.5" customHeight="1" x14ac:dyDescent="0.25">
      <c r="A28" s="21">
        <v>21</v>
      </c>
      <c r="B28" s="7" t="s">
        <v>313</v>
      </c>
      <c r="C28" s="10" t="s">
        <v>248</v>
      </c>
      <c r="D28" s="22" t="s">
        <v>284</v>
      </c>
      <c r="E28" s="22" t="s">
        <v>316</v>
      </c>
      <c r="F28" s="22"/>
      <c r="G28" s="50">
        <v>165000</v>
      </c>
      <c r="H28" s="28">
        <v>165000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3">
        <f t="shared" si="0"/>
        <v>165000</v>
      </c>
      <c r="U28" s="32">
        <v>0</v>
      </c>
      <c r="V28" s="46">
        <f t="shared" si="1"/>
        <v>165000</v>
      </c>
      <c r="W28" s="25"/>
      <c r="X28" s="32"/>
      <c r="Y28" s="38"/>
    </row>
    <row r="29" spans="1:27" s="26" customFormat="1" ht="19.5" customHeight="1" x14ac:dyDescent="0.25">
      <c r="A29" s="21">
        <v>22</v>
      </c>
      <c r="B29" s="7" t="s">
        <v>297</v>
      </c>
      <c r="C29" s="3" t="s">
        <v>248</v>
      </c>
      <c r="D29" s="22" t="s">
        <v>284</v>
      </c>
      <c r="E29" s="22" t="s">
        <v>322</v>
      </c>
      <c r="F29" s="22"/>
      <c r="G29" s="50">
        <v>94000</v>
      </c>
      <c r="H29" s="25">
        <v>94000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3">
        <f t="shared" si="0"/>
        <v>94000</v>
      </c>
      <c r="U29" s="32">
        <v>0</v>
      </c>
      <c r="V29" s="46">
        <f t="shared" si="1"/>
        <v>94000</v>
      </c>
      <c r="W29" s="25"/>
      <c r="X29" s="32"/>
      <c r="Y29" s="38"/>
    </row>
    <row r="30" spans="1:27" s="26" customFormat="1" ht="19.5" customHeight="1" x14ac:dyDescent="0.25">
      <c r="A30" s="21">
        <v>23</v>
      </c>
      <c r="B30" s="7" t="s">
        <v>37</v>
      </c>
      <c r="C30" s="3" t="s">
        <v>248</v>
      </c>
      <c r="D30" s="22" t="s">
        <v>284</v>
      </c>
      <c r="E30" s="22" t="s">
        <v>322</v>
      </c>
      <c r="F30" s="22"/>
      <c r="G30" s="50">
        <v>125000</v>
      </c>
      <c r="H30" s="25">
        <v>125000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3">
        <f t="shared" si="0"/>
        <v>125000</v>
      </c>
      <c r="U30" s="32">
        <v>0</v>
      </c>
      <c r="V30" s="46">
        <f t="shared" si="1"/>
        <v>125000</v>
      </c>
      <c r="W30" s="25"/>
      <c r="X30" s="32"/>
      <c r="Y30" s="38"/>
      <c r="AA30" s="26">
        <f>505000/50</f>
        <v>10100</v>
      </c>
    </row>
    <row r="31" spans="1:27" s="26" customFormat="1" ht="17.25" customHeight="1" x14ac:dyDescent="0.25">
      <c r="A31" s="21">
        <v>24</v>
      </c>
      <c r="B31" s="7" t="s">
        <v>77</v>
      </c>
      <c r="C31" s="3" t="s">
        <v>248</v>
      </c>
      <c r="D31" s="22" t="s">
        <v>284</v>
      </c>
      <c r="E31" s="22" t="s">
        <v>322</v>
      </c>
      <c r="F31" s="22"/>
      <c r="G31" s="50">
        <v>42000</v>
      </c>
      <c r="H31" s="25">
        <v>42000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3">
        <f t="shared" si="0"/>
        <v>42000</v>
      </c>
      <c r="U31" s="32">
        <v>0</v>
      </c>
      <c r="V31" s="46">
        <f t="shared" si="1"/>
        <v>42000</v>
      </c>
      <c r="W31" s="25"/>
      <c r="X31" s="32"/>
      <c r="Y31" s="38"/>
    </row>
    <row r="32" spans="1:27" s="26" customFormat="1" x14ac:dyDescent="0.25">
      <c r="A32" s="21">
        <v>25</v>
      </c>
      <c r="B32" s="7" t="s">
        <v>42</v>
      </c>
      <c r="C32" s="3" t="s">
        <v>248</v>
      </c>
      <c r="D32" s="22" t="s">
        <v>284</v>
      </c>
      <c r="E32" s="22" t="s">
        <v>322</v>
      </c>
      <c r="F32" s="22"/>
      <c r="G32" s="50">
        <v>85000</v>
      </c>
      <c r="H32" s="25">
        <v>85000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3">
        <f t="shared" si="0"/>
        <v>85000</v>
      </c>
      <c r="U32" s="32">
        <v>0</v>
      </c>
      <c r="V32" s="46">
        <f t="shared" si="1"/>
        <v>85000</v>
      </c>
      <c r="W32" s="25"/>
      <c r="X32" s="32"/>
      <c r="Y32" s="38"/>
    </row>
    <row r="33" spans="1:25" s="26" customFormat="1" x14ac:dyDescent="0.25">
      <c r="A33" s="21">
        <v>26</v>
      </c>
      <c r="B33" s="7" t="s">
        <v>79</v>
      </c>
      <c r="C33" s="3" t="s">
        <v>248</v>
      </c>
      <c r="D33" s="22" t="s">
        <v>284</v>
      </c>
      <c r="E33" s="22" t="s">
        <v>316</v>
      </c>
      <c r="F33" s="22"/>
      <c r="G33" s="50">
        <v>26500</v>
      </c>
      <c r="H33" s="25">
        <v>26500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3">
        <f t="shared" si="0"/>
        <v>26500</v>
      </c>
      <c r="U33" s="32">
        <v>0</v>
      </c>
      <c r="V33" s="46">
        <f t="shared" si="1"/>
        <v>26500</v>
      </c>
      <c r="W33" s="25"/>
      <c r="X33" s="32"/>
      <c r="Y33" s="38"/>
    </row>
    <row r="34" spans="1:25" s="26" customFormat="1" x14ac:dyDescent="0.25">
      <c r="A34" s="21">
        <v>27</v>
      </c>
      <c r="B34" s="7" t="s">
        <v>43</v>
      </c>
      <c r="C34" s="3" t="s">
        <v>248</v>
      </c>
      <c r="D34" s="22" t="s">
        <v>284</v>
      </c>
      <c r="E34" s="22" t="s">
        <v>317</v>
      </c>
      <c r="F34" s="22"/>
      <c r="G34" s="50">
        <v>10000</v>
      </c>
      <c r="H34" s="25">
        <v>10000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3">
        <f t="shared" si="0"/>
        <v>10000</v>
      </c>
      <c r="U34" s="32">
        <v>0</v>
      </c>
      <c r="V34" s="46">
        <f t="shared" si="1"/>
        <v>10000</v>
      </c>
      <c r="W34" s="25"/>
      <c r="X34" s="32"/>
      <c r="Y34" s="38"/>
    </row>
    <row r="35" spans="1:25" s="26" customFormat="1" x14ac:dyDescent="0.25">
      <c r="A35" s="21">
        <v>28</v>
      </c>
      <c r="B35" s="7" t="s">
        <v>165</v>
      </c>
      <c r="C35" s="3" t="s">
        <v>280</v>
      </c>
      <c r="D35" s="22" t="s">
        <v>284</v>
      </c>
      <c r="E35" s="22" t="s">
        <v>317</v>
      </c>
      <c r="F35" s="22"/>
      <c r="G35" s="50">
        <v>8667</v>
      </c>
      <c r="H35" s="28">
        <v>7923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5"/>
      <c r="T35" s="23">
        <f t="shared" si="0"/>
        <v>8295</v>
      </c>
      <c r="U35" s="32">
        <v>0</v>
      </c>
      <c r="V35" s="46">
        <f t="shared" si="1"/>
        <v>8295</v>
      </c>
      <c r="W35" s="25"/>
      <c r="X35" s="32"/>
      <c r="Y35" s="38"/>
    </row>
    <row r="36" spans="1:25" s="26" customFormat="1" x14ac:dyDescent="0.25">
      <c r="A36" s="21">
        <v>29</v>
      </c>
      <c r="B36" s="7" t="s">
        <v>113</v>
      </c>
      <c r="C36" s="3" t="s">
        <v>248</v>
      </c>
      <c r="D36" s="22" t="s">
        <v>284</v>
      </c>
      <c r="E36" s="22" t="s">
        <v>316</v>
      </c>
      <c r="F36" s="22"/>
      <c r="G36" s="50">
        <v>94000</v>
      </c>
      <c r="H36" s="25">
        <v>94000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3">
        <f t="shared" si="0"/>
        <v>94000</v>
      </c>
      <c r="U36" s="32">
        <v>0</v>
      </c>
      <c r="V36" s="46">
        <f t="shared" si="1"/>
        <v>94000</v>
      </c>
      <c r="W36" s="25"/>
      <c r="X36" s="32"/>
      <c r="Y36" s="38"/>
    </row>
    <row r="37" spans="1:25" s="26" customFormat="1" x14ac:dyDescent="0.25">
      <c r="A37" s="21">
        <v>30</v>
      </c>
      <c r="B37" s="7" t="s">
        <v>308</v>
      </c>
      <c r="C37" s="3" t="s">
        <v>248</v>
      </c>
      <c r="D37" s="22" t="s">
        <v>284</v>
      </c>
      <c r="E37" s="22" t="s">
        <v>316</v>
      </c>
      <c r="F37" s="22"/>
      <c r="G37" s="50">
        <v>90000</v>
      </c>
      <c r="H37" s="25">
        <v>90000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3">
        <f t="shared" si="0"/>
        <v>90000</v>
      </c>
      <c r="U37" s="32">
        <v>0</v>
      </c>
      <c r="V37" s="46">
        <f t="shared" si="1"/>
        <v>90000</v>
      </c>
      <c r="W37" s="25"/>
      <c r="X37" s="32"/>
      <c r="Y37" s="38"/>
    </row>
    <row r="38" spans="1:25" s="26" customFormat="1" x14ac:dyDescent="0.25">
      <c r="A38" s="21">
        <v>31</v>
      </c>
      <c r="B38" s="7" t="s">
        <v>158</v>
      </c>
      <c r="C38" s="3" t="s">
        <v>248</v>
      </c>
      <c r="D38" s="22" t="s">
        <v>284</v>
      </c>
      <c r="E38" s="22" t="s">
        <v>316</v>
      </c>
      <c r="F38" s="22"/>
      <c r="G38" s="50">
        <v>96500</v>
      </c>
      <c r="H38" s="25">
        <v>96500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3">
        <f t="shared" si="0"/>
        <v>96500</v>
      </c>
      <c r="U38" s="32">
        <v>0</v>
      </c>
      <c r="V38" s="46">
        <f t="shared" si="1"/>
        <v>96500</v>
      </c>
      <c r="W38" s="25"/>
      <c r="X38" s="32"/>
      <c r="Y38" s="38"/>
    </row>
    <row r="39" spans="1:25" s="26" customFormat="1" x14ac:dyDescent="0.25">
      <c r="A39" s="21">
        <v>32</v>
      </c>
      <c r="B39" s="7" t="s">
        <v>157</v>
      </c>
      <c r="C39" s="3" t="s">
        <v>248</v>
      </c>
      <c r="D39" s="22" t="s">
        <v>284</v>
      </c>
      <c r="E39" s="22" t="s">
        <v>316</v>
      </c>
      <c r="F39" s="22"/>
      <c r="G39" s="50">
        <v>90000</v>
      </c>
      <c r="H39" s="25">
        <v>90000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3">
        <f t="shared" si="0"/>
        <v>90000</v>
      </c>
      <c r="U39" s="32">
        <v>0</v>
      </c>
      <c r="V39" s="46">
        <f t="shared" si="1"/>
        <v>90000</v>
      </c>
      <c r="W39" s="25"/>
      <c r="X39" s="32"/>
      <c r="Y39" s="38"/>
    </row>
    <row r="40" spans="1:25" s="26" customFormat="1" x14ac:dyDescent="0.25">
      <c r="A40" s="21">
        <v>33</v>
      </c>
      <c r="B40" s="7" t="s">
        <v>296</v>
      </c>
      <c r="C40" s="3" t="s">
        <v>248</v>
      </c>
      <c r="D40" s="22" t="s">
        <v>284</v>
      </c>
      <c r="E40" s="22" t="s">
        <v>316</v>
      </c>
      <c r="F40" s="22"/>
      <c r="G40" s="50"/>
      <c r="H40" s="50">
        <v>94000</v>
      </c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23">
        <f t="shared" si="0"/>
        <v>47000</v>
      </c>
      <c r="U40" s="32">
        <v>0</v>
      </c>
      <c r="V40" s="46">
        <f t="shared" si="1"/>
        <v>47000</v>
      </c>
      <c r="W40" s="25"/>
      <c r="X40" s="32"/>
      <c r="Y40" s="38"/>
    </row>
    <row r="41" spans="1:25" s="26" customFormat="1" x14ac:dyDescent="0.25">
      <c r="A41" s="21">
        <v>34</v>
      </c>
      <c r="B41" s="7" t="s">
        <v>38</v>
      </c>
      <c r="C41" s="3" t="s">
        <v>248</v>
      </c>
      <c r="D41" s="22" t="s">
        <v>284</v>
      </c>
      <c r="E41" s="22" t="s">
        <v>316</v>
      </c>
      <c r="F41" s="50">
        <v>97000</v>
      </c>
      <c r="G41" s="50">
        <v>94000</v>
      </c>
      <c r="H41" s="50">
        <v>105000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23">
        <f t="shared" si="0"/>
        <v>99500</v>
      </c>
      <c r="U41" s="32">
        <v>0</v>
      </c>
      <c r="V41" s="46">
        <f t="shared" si="1"/>
        <v>99500</v>
      </c>
      <c r="W41" s="25"/>
      <c r="X41" s="32"/>
      <c r="Y41" s="38"/>
    </row>
    <row r="42" spans="1:25" s="26" customFormat="1" x14ac:dyDescent="0.25">
      <c r="A42" s="21">
        <v>35</v>
      </c>
      <c r="B42" s="7" t="s">
        <v>116</v>
      </c>
      <c r="C42" s="3" t="s">
        <v>248</v>
      </c>
      <c r="D42" s="22" t="s">
        <v>284</v>
      </c>
      <c r="E42" s="22" t="s">
        <v>316</v>
      </c>
      <c r="F42" s="50">
        <v>97000</v>
      </c>
      <c r="G42" s="50">
        <v>97000</v>
      </c>
      <c r="H42" s="50">
        <v>97000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23">
        <f t="shared" si="0"/>
        <v>97000</v>
      </c>
      <c r="U42" s="32">
        <v>0</v>
      </c>
      <c r="V42" s="46">
        <f t="shared" si="1"/>
        <v>97000</v>
      </c>
      <c r="W42" s="25"/>
      <c r="X42" s="32"/>
      <c r="Y42" s="38"/>
    </row>
    <row r="43" spans="1:25" s="26" customFormat="1" x14ac:dyDescent="0.25">
      <c r="A43" s="21">
        <v>36</v>
      </c>
      <c r="B43" s="7" t="s">
        <v>34</v>
      </c>
      <c r="C43" s="11" t="s">
        <v>248</v>
      </c>
      <c r="D43" s="22" t="s">
        <v>284</v>
      </c>
      <c r="E43" s="22" t="s">
        <v>339</v>
      </c>
      <c r="F43" s="50">
        <v>17000</v>
      </c>
      <c r="G43" s="50">
        <v>17000</v>
      </c>
      <c r="H43" s="50">
        <v>17000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23">
        <f t="shared" si="0"/>
        <v>17000</v>
      </c>
      <c r="U43" s="32">
        <v>0</v>
      </c>
      <c r="V43" s="46">
        <f t="shared" si="1"/>
        <v>17000</v>
      </c>
      <c r="W43" s="25"/>
      <c r="X43" s="32"/>
      <c r="Y43" s="38"/>
    </row>
    <row r="44" spans="1:25" s="26" customFormat="1" x14ac:dyDescent="0.25">
      <c r="A44" s="21">
        <v>37</v>
      </c>
      <c r="B44" s="7" t="s">
        <v>35</v>
      </c>
      <c r="C44" s="11" t="s">
        <v>248</v>
      </c>
      <c r="D44" s="22" t="s">
        <v>284</v>
      </c>
      <c r="E44" s="22" t="s">
        <v>339</v>
      </c>
      <c r="F44" s="22"/>
      <c r="G44" s="50">
        <v>24000</v>
      </c>
      <c r="H44" s="25">
        <v>24000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3">
        <f t="shared" si="0"/>
        <v>24000</v>
      </c>
      <c r="U44" s="32">
        <v>0</v>
      </c>
      <c r="V44" s="46">
        <f t="shared" si="1"/>
        <v>24000</v>
      </c>
      <c r="W44" s="25"/>
      <c r="X44" s="32"/>
      <c r="Y44" s="38"/>
    </row>
    <row r="45" spans="1:25" s="26" customFormat="1" ht="24" customHeight="1" x14ac:dyDescent="0.25">
      <c r="A45" s="21">
        <v>38</v>
      </c>
      <c r="B45" s="7" t="s">
        <v>36</v>
      </c>
      <c r="C45" s="11" t="s">
        <v>306</v>
      </c>
      <c r="D45" s="22" t="s">
        <v>189</v>
      </c>
      <c r="E45" s="22" t="s">
        <v>339</v>
      </c>
      <c r="F45" s="22"/>
      <c r="G45" s="50">
        <v>36000</v>
      </c>
      <c r="H45" s="25">
        <v>36000</v>
      </c>
      <c r="I45" s="25"/>
      <c r="J45" s="25"/>
      <c r="K45" s="177">
        <v>40000</v>
      </c>
      <c r="L45" s="25"/>
      <c r="M45" s="25"/>
      <c r="N45" s="25"/>
      <c r="O45" s="25"/>
      <c r="P45" s="25"/>
      <c r="Q45" s="25"/>
      <c r="R45" s="25"/>
      <c r="S45" s="25"/>
      <c r="T45" s="23">
        <f t="shared" si="0"/>
        <v>56000</v>
      </c>
      <c r="U45" s="32">
        <v>0</v>
      </c>
      <c r="V45" s="46">
        <f t="shared" si="1"/>
        <v>56000</v>
      </c>
      <c r="W45" s="25"/>
      <c r="X45" s="32"/>
      <c r="Y45" s="38"/>
    </row>
    <row r="46" spans="1:25" s="26" customFormat="1" x14ac:dyDescent="0.25">
      <c r="A46" s="21">
        <v>39</v>
      </c>
      <c r="B46" s="2" t="s">
        <v>39</v>
      </c>
      <c r="C46" s="11" t="s">
        <v>248</v>
      </c>
      <c r="D46" s="22" t="s">
        <v>284</v>
      </c>
      <c r="E46" s="22" t="s">
        <v>316</v>
      </c>
      <c r="F46" s="22"/>
      <c r="G46" s="50">
        <v>54000</v>
      </c>
      <c r="H46" s="25">
        <v>54000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3">
        <f t="shared" si="0"/>
        <v>54000</v>
      </c>
      <c r="U46" s="32">
        <v>0</v>
      </c>
      <c r="V46" s="46">
        <f t="shared" si="1"/>
        <v>54000</v>
      </c>
      <c r="W46" s="25"/>
      <c r="X46" s="32"/>
      <c r="Y46" s="38"/>
    </row>
    <row r="47" spans="1:25" s="26" customFormat="1" x14ac:dyDescent="0.25">
      <c r="A47" s="21">
        <v>40</v>
      </c>
      <c r="B47" s="2" t="s">
        <v>40</v>
      </c>
      <c r="C47" s="11" t="s">
        <v>248</v>
      </c>
      <c r="D47" s="22" t="s">
        <v>284</v>
      </c>
      <c r="E47" s="22" t="s">
        <v>316</v>
      </c>
      <c r="F47" s="22"/>
      <c r="G47" s="50">
        <v>62000</v>
      </c>
      <c r="H47" s="25">
        <v>62000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3">
        <f t="shared" si="0"/>
        <v>62000</v>
      </c>
      <c r="U47" s="32">
        <v>0</v>
      </c>
      <c r="V47" s="46">
        <f t="shared" si="1"/>
        <v>62000</v>
      </c>
      <c r="W47" s="25"/>
      <c r="X47" s="32"/>
      <c r="Y47" s="38"/>
    </row>
    <row r="48" spans="1:25" s="26" customFormat="1" x14ac:dyDescent="0.25">
      <c r="A48" s="21">
        <v>41</v>
      </c>
      <c r="B48" s="2" t="s">
        <v>136</v>
      </c>
      <c r="C48" s="11" t="s">
        <v>248</v>
      </c>
      <c r="D48" s="22" t="s">
        <v>284</v>
      </c>
      <c r="E48" s="22" t="s">
        <v>316</v>
      </c>
      <c r="F48" s="22"/>
      <c r="G48" s="50">
        <v>97000</v>
      </c>
      <c r="H48" s="25">
        <v>97000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3">
        <f t="shared" si="0"/>
        <v>97000</v>
      </c>
      <c r="U48" s="32">
        <v>0</v>
      </c>
      <c r="V48" s="46">
        <f t="shared" si="1"/>
        <v>97000</v>
      </c>
      <c r="W48" s="25"/>
      <c r="X48" s="32"/>
      <c r="Y48" s="38"/>
    </row>
    <row r="49" spans="1:25" s="26" customFormat="1" x14ac:dyDescent="0.25">
      <c r="A49" s="21">
        <v>42</v>
      </c>
      <c r="B49" s="2" t="s">
        <v>340</v>
      </c>
      <c r="C49" s="11" t="s">
        <v>248</v>
      </c>
      <c r="D49" s="22" t="s">
        <v>284</v>
      </c>
      <c r="E49" s="22" t="s">
        <v>316</v>
      </c>
      <c r="F49" s="22"/>
      <c r="G49" s="50">
        <v>91000</v>
      </c>
      <c r="H49" s="25">
        <v>91000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3">
        <f t="shared" si="0"/>
        <v>91000</v>
      </c>
      <c r="U49" s="32">
        <v>0</v>
      </c>
      <c r="V49" s="46">
        <f t="shared" si="1"/>
        <v>91000</v>
      </c>
      <c r="W49" s="25"/>
      <c r="X49" s="32"/>
      <c r="Y49" s="38"/>
    </row>
    <row r="50" spans="1:25" s="26" customFormat="1" x14ac:dyDescent="0.25">
      <c r="A50" s="21">
        <v>43</v>
      </c>
      <c r="B50" s="2" t="s">
        <v>100</v>
      </c>
      <c r="C50" s="3" t="s">
        <v>248</v>
      </c>
      <c r="D50" s="22" t="s">
        <v>284</v>
      </c>
      <c r="E50" s="22" t="s">
        <v>317</v>
      </c>
      <c r="F50" s="22"/>
      <c r="G50" s="50">
        <v>34000</v>
      </c>
      <c r="H50" s="25">
        <v>34000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3">
        <f t="shared" si="0"/>
        <v>34000</v>
      </c>
      <c r="U50" s="32">
        <v>0</v>
      </c>
      <c r="V50" s="46">
        <f t="shared" si="1"/>
        <v>34000</v>
      </c>
      <c r="W50" s="25"/>
      <c r="X50" s="32"/>
      <c r="Y50" s="38"/>
    </row>
    <row r="51" spans="1:25" s="26" customFormat="1" x14ac:dyDescent="0.25">
      <c r="A51" s="21">
        <v>44</v>
      </c>
      <c r="B51" s="2" t="s">
        <v>101</v>
      </c>
      <c r="C51" s="3" t="s">
        <v>248</v>
      </c>
      <c r="D51" s="22" t="s">
        <v>284</v>
      </c>
      <c r="E51" s="22" t="s">
        <v>317</v>
      </c>
      <c r="F51" s="22"/>
      <c r="G51" s="50">
        <v>22000</v>
      </c>
      <c r="H51" s="25">
        <v>22000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3">
        <f t="shared" si="0"/>
        <v>22000</v>
      </c>
      <c r="U51" s="32">
        <v>0</v>
      </c>
      <c r="V51" s="46">
        <f t="shared" si="1"/>
        <v>22000</v>
      </c>
      <c r="W51" s="25"/>
      <c r="X51" s="32"/>
      <c r="Y51" s="38"/>
    </row>
    <row r="52" spans="1:25" s="26" customFormat="1" x14ac:dyDescent="0.25">
      <c r="A52" s="21"/>
      <c r="B52" s="7"/>
      <c r="C52" s="6"/>
      <c r="D52" s="22"/>
      <c r="E52" s="22"/>
      <c r="F52" s="22"/>
      <c r="G52" s="22"/>
      <c r="H52" s="49"/>
      <c r="I52" s="49"/>
      <c r="J52" s="49"/>
      <c r="K52" s="49"/>
      <c r="L52" s="49"/>
      <c r="M52" s="25"/>
      <c r="N52" s="25"/>
      <c r="O52" s="25"/>
      <c r="P52" s="25"/>
      <c r="Q52" s="25"/>
      <c r="R52" s="25"/>
      <c r="S52" s="25"/>
      <c r="T52" s="23"/>
      <c r="U52" s="32"/>
      <c r="V52" s="46"/>
      <c r="W52" s="25"/>
      <c r="X52" s="32"/>
      <c r="Y52" s="38"/>
    </row>
    <row r="53" spans="1:25" s="26" customFormat="1" x14ac:dyDescent="0.25">
      <c r="A53" s="21"/>
      <c r="B53" s="7"/>
      <c r="C53" s="6"/>
      <c r="D53" s="22"/>
      <c r="E53" s="22"/>
      <c r="F53" s="22"/>
      <c r="G53" s="22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3"/>
      <c r="U53" s="32"/>
      <c r="V53" s="46"/>
      <c r="W53" s="25"/>
      <c r="X53" s="32"/>
      <c r="Y53" s="38"/>
    </row>
    <row r="56" spans="1:25" ht="15.75" x14ac:dyDescent="0.25">
      <c r="C56" s="71" t="s">
        <v>387</v>
      </c>
      <c r="D56" s="71"/>
      <c r="E56" s="71"/>
      <c r="F56" s="71"/>
      <c r="G56" s="71"/>
      <c r="H56" s="71" t="s">
        <v>389</v>
      </c>
      <c r="I56" s="71"/>
      <c r="J56" s="71"/>
      <c r="K56" s="71"/>
      <c r="L56" s="71" t="s">
        <v>388</v>
      </c>
      <c r="M56" s="71"/>
    </row>
    <row r="57" spans="1:25" ht="15.75" x14ac:dyDescent="0.25"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</row>
    <row r="58" spans="1:25" ht="15.75" x14ac:dyDescent="0.25"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spans="1:25" ht="15.75" x14ac:dyDescent="0.25"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spans="1:25" ht="15.75" x14ac:dyDescent="0.25">
      <c r="C60" s="71" t="s">
        <v>390</v>
      </c>
      <c r="D60" s="71"/>
      <c r="E60" s="71"/>
      <c r="F60" s="71"/>
      <c r="G60" s="71"/>
      <c r="H60" s="71" t="s">
        <v>391</v>
      </c>
      <c r="I60" s="71"/>
      <c r="J60" s="71"/>
      <c r="K60" s="71"/>
      <c r="L60" s="71" t="s">
        <v>392</v>
      </c>
      <c r="M60" s="71"/>
    </row>
  </sheetData>
  <autoFilter ref="B2:B53"/>
  <mergeCells count="9">
    <mergeCell ref="H4:S4"/>
    <mergeCell ref="T4:V4"/>
    <mergeCell ref="W4:Y4"/>
    <mergeCell ref="A4:A6"/>
    <mergeCell ref="B4:B6"/>
    <mergeCell ref="C4:C6"/>
    <mergeCell ref="D4:D6"/>
    <mergeCell ref="E4:E6"/>
    <mergeCell ref="F4:F6"/>
  </mergeCells>
  <pageMargins left="0.38" right="0.25" top="0.75" bottom="0.75" header="0.3" footer="0.3"/>
  <pageSetup paperSize="9" scale="4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zoomScaleNormal="100" workbookViewId="0">
      <selection activeCell="D18" sqref="D18"/>
    </sheetView>
  </sheetViews>
  <sheetFormatPr defaultRowHeight="15" x14ac:dyDescent="0.25"/>
  <cols>
    <col min="1" max="1" width="9.140625" style="1"/>
    <col min="2" max="2" width="26.140625" style="1" customWidth="1"/>
    <col min="3" max="3" width="18" style="1" customWidth="1"/>
    <col min="4" max="4" width="23.5703125" style="1" customWidth="1"/>
    <col min="5" max="5" width="12.28515625" style="1" customWidth="1"/>
    <col min="6" max="6" width="10.5703125" style="1" customWidth="1"/>
    <col min="7" max="7" width="14.42578125" style="1" customWidth="1"/>
    <col min="8" max="16384" width="9.140625" style="1"/>
  </cols>
  <sheetData>
    <row r="2" spans="1:7" ht="18.75" x14ac:dyDescent="0.3">
      <c r="B2" s="5" t="s">
        <v>407</v>
      </c>
      <c r="C2" s="5"/>
    </row>
    <row r="3" spans="1:7" ht="15.75" thickBot="1" x14ac:dyDescent="0.3"/>
    <row r="4" spans="1:7" ht="20.25" customHeight="1" x14ac:dyDescent="0.25">
      <c r="A4" s="161" t="s">
        <v>0</v>
      </c>
      <c r="B4" s="161" t="s">
        <v>1</v>
      </c>
      <c r="C4" s="161" t="s">
        <v>41</v>
      </c>
      <c r="D4" s="161" t="s">
        <v>2</v>
      </c>
    </row>
    <row r="5" spans="1:7" ht="15.75" hidden="1" customHeight="1" thickBot="1" x14ac:dyDescent="0.3">
      <c r="A5" s="162"/>
      <c r="B5" s="162"/>
      <c r="C5" s="162"/>
      <c r="D5" s="162"/>
    </row>
    <row r="6" spans="1:7" ht="15.75" thickBot="1" x14ac:dyDescent="0.3">
      <c r="A6" s="163"/>
      <c r="B6" s="163"/>
      <c r="C6" s="163"/>
      <c r="D6" s="163"/>
    </row>
    <row r="7" spans="1:7" ht="16.5" customHeight="1" x14ac:dyDescent="0.25">
      <c r="A7" s="3"/>
      <c r="B7" s="7"/>
      <c r="C7" s="10"/>
      <c r="D7" s="8"/>
    </row>
    <row r="8" spans="1:7" ht="16.5" customHeight="1" x14ac:dyDescent="0.25">
      <c r="A8" s="3"/>
      <c r="B8" s="14" t="s">
        <v>89</v>
      </c>
      <c r="C8" s="10"/>
      <c r="D8" s="8"/>
    </row>
    <row r="9" spans="1:7" ht="16.5" customHeight="1" x14ac:dyDescent="0.25">
      <c r="A9" s="3"/>
      <c r="B9" s="7" t="s">
        <v>94</v>
      </c>
      <c r="C9" s="10" t="s">
        <v>49</v>
      </c>
      <c r="D9" s="12">
        <v>6500000</v>
      </c>
    </row>
    <row r="10" spans="1:7" ht="18" customHeight="1" x14ac:dyDescent="0.25">
      <c r="A10" s="3"/>
      <c r="B10" s="7" t="s">
        <v>90</v>
      </c>
      <c r="C10" s="10" t="s">
        <v>49</v>
      </c>
      <c r="D10" s="13">
        <v>4700000</v>
      </c>
    </row>
    <row r="11" spans="1:7" ht="18" customHeight="1" x14ac:dyDescent="0.25">
      <c r="A11" s="3"/>
      <c r="B11" s="7" t="s">
        <v>91</v>
      </c>
      <c r="C11" s="10" t="s">
        <v>49</v>
      </c>
      <c r="D11" s="13">
        <v>3675000</v>
      </c>
    </row>
    <row r="12" spans="1:7" ht="18" customHeight="1" x14ac:dyDescent="0.25">
      <c r="A12" s="3"/>
      <c r="B12" s="7" t="s">
        <v>92</v>
      </c>
      <c r="C12" s="10" t="s">
        <v>49</v>
      </c>
      <c r="D12" s="13">
        <v>3100000</v>
      </c>
    </row>
    <row r="13" spans="1:7" ht="18" customHeight="1" x14ac:dyDescent="0.25">
      <c r="A13" s="3"/>
      <c r="B13" s="7" t="s">
        <v>93</v>
      </c>
      <c r="C13" s="10" t="s">
        <v>49</v>
      </c>
      <c r="D13" s="12">
        <v>1850000</v>
      </c>
    </row>
    <row r="14" spans="1:7" ht="16.5" customHeight="1" x14ac:dyDescent="0.25">
      <c r="A14" s="3"/>
      <c r="B14" s="7" t="s">
        <v>393</v>
      </c>
      <c r="C14" s="10" t="s">
        <v>49</v>
      </c>
      <c r="D14" s="9">
        <f>430000*11%+430000</f>
        <v>477300</v>
      </c>
      <c r="E14" s="16"/>
      <c r="F14" s="72"/>
    </row>
    <row r="15" spans="1:7" ht="16.5" customHeight="1" x14ac:dyDescent="0.25">
      <c r="A15" s="3"/>
      <c r="B15" s="7" t="s">
        <v>394</v>
      </c>
      <c r="C15" s="10" t="s">
        <v>49</v>
      </c>
      <c r="D15" s="9">
        <f>3700000*11%+3700000</f>
        <v>4107000</v>
      </c>
      <c r="G15" s="73"/>
    </row>
    <row r="16" spans="1:7" ht="16.5" customHeight="1" x14ac:dyDescent="0.25">
      <c r="A16" s="3"/>
      <c r="B16" s="7"/>
      <c r="C16" s="10"/>
      <c r="D16" s="9"/>
      <c r="G16" s="73"/>
    </row>
    <row r="17" spans="1:9" ht="16.5" customHeight="1" x14ac:dyDescent="0.25">
      <c r="A17" s="3"/>
      <c r="B17" s="7" t="s">
        <v>434</v>
      </c>
      <c r="C17" s="10"/>
      <c r="D17" s="9"/>
      <c r="G17" s="73"/>
    </row>
    <row r="18" spans="1:9" ht="16.5" customHeight="1" x14ac:dyDescent="0.25">
      <c r="A18" s="3"/>
      <c r="B18" s="7" t="s">
        <v>435</v>
      </c>
      <c r="C18" s="10"/>
      <c r="D18" s="142">
        <v>199000</v>
      </c>
      <c r="G18" s="73"/>
    </row>
    <row r="19" spans="1:9" ht="16.5" customHeight="1" x14ac:dyDescent="0.25">
      <c r="A19" s="3"/>
      <c r="B19" s="7"/>
      <c r="C19" s="10"/>
      <c r="D19" s="8"/>
      <c r="G19" s="73"/>
    </row>
    <row r="20" spans="1:9" ht="16.5" customHeight="1" x14ac:dyDescent="0.25">
      <c r="A20" s="3"/>
      <c r="B20" s="7"/>
      <c r="C20" s="10"/>
      <c r="D20" s="8"/>
    </row>
    <row r="21" spans="1:9" ht="16.5" customHeight="1" x14ac:dyDescent="0.25">
      <c r="A21" s="3"/>
      <c r="B21" s="7"/>
      <c r="C21" s="10"/>
      <c r="D21" s="8"/>
    </row>
    <row r="26" spans="1:9" ht="15.75" x14ac:dyDescent="0.25">
      <c r="A26" s="71" t="s">
        <v>387</v>
      </c>
      <c r="B26" s="71"/>
      <c r="C26" s="71" t="s">
        <v>389</v>
      </c>
      <c r="D26" s="71"/>
      <c r="E26" s="71" t="s">
        <v>389</v>
      </c>
      <c r="F26" s="71"/>
      <c r="G26" s="71"/>
      <c r="H26" s="71"/>
      <c r="I26" s="71"/>
    </row>
    <row r="27" spans="1:9" ht="15.75" x14ac:dyDescent="0.25">
      <c r="A27" s="71"/>
      <c r="B27" s="71"/>
      <c r="C27" s="71"/>
      <c r="D27" s="71"/>
      <c r="E27" s="71"/>
      <c r="F27" s="71"/>
      <c r="G27" s="71"/>
      <c r="H27" s="71"/>
      <c r="I27" s="71"/>
    </row>
    <row r="28" spans="1:9" ht="15.75" x14ac:dyDescent="0.25">
      <c r="A28" s="71"/>
      <c r="B28" s="71"/>
      <c r="C28" s="71"/>
      <c r="D28" s="71"/>
      <c r="E28" s="71"/>
      <c r="F28" s="71"/>
      <c r="G28" s="71"/>
      <c r="H28" s="71"/>
      <c r="I28" s="71"/>
    </row>
    <row r="29" spans="1:9" ht="15.75" x14ac:dyDescent="0.25">
      <c r="A29" s="71"/>
      <c r="B29" s="71"/>
      <c r="C29" s="71"/>
      <c r="D29" s="71"/>
      <c r="E29" s="71"/>
      <c r="F29" s="71"/>
      <c r="G29" s="71"/>
      <c r="H29" s="71"/>
      <c r="I29" s="71"/>
    </row>
    <row r="30" spans="1:9" ht="15.75" x14ac:dyDescent="0.25">
      <c r="A30" s="71" t="s">
        <v>390</v>
      </c>
      <c r="B30" s="71"/>
      <c r="C30" s="71" t="s">
        <v>391</v>
      </c>
      <c r="D30" s="71"/>
      <c r="E30" s="71" t="s">
        <v>391</v>
      </c>
      <c r="F30" s="71"/>
      <c r="G30" s="71"/>
      <c r="H30" s="71"/>
      <c r="I30" s="71"/>
    </row>
  </sheetData>
  <mergeCells count="4">
    <mergeCell ref="A4:A6"/>
    <mergeCell ref="B4:B6"/>
    <mergeCell ref="C4:C6"/>
    <mergeCell ref="D4:D6"/>
  </mergeCells>
  <pageMargins left="0.7" right="0.7" top="0.55000000000000004" bottom="0.75" header="0.3" footer="0.3"/>
  <pageSetup scale="7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20"/>
  <sheetViews>
    <sheetView topLeftCell="D1" zoomScaleNormal="100" workbookViewId="0">
      <selection activeCell="O17" sqref="O17"/>
    </sheetView>
  </sheetViews>
  <sheetFormatPr defaultRowHeight="15" x14ac:dyDescent="0.25"/>
  <cols>
    <col min="1" max="1" width="9.140625" style="1"/>
    <col min="2" max="2" width="30.85546875" style="1" customWidth="1"/>
    <col min="3" max="3" width="12.5703125" style="1" customWidth="1"/>
    <col min="4" max="4" width="13.85546875" style="1" customWidth="1"/>
    <col min="5" max="5" width="12.28515625" style="1" customWidth="1"/>
    <col min="6" max="6" width="13" style="1" customWidth="1"/>
    <col min="7" max="7" width="11.5703125" style="1" customWidth="1"/>
    <col min="8" max="8" width="11.28515625" style="1" customWidth="1"/>
    <col min="9" max="9" width="11.42578125" style="1" customWidth="1"/>
    <col min="10" max="10" width="12.140625" style="1" customWidth="1"/>
    <col min="11" max="11" width="11.28515625" style="1" customWidth="1"/>
    <col min="12" max="12" width="11.42578125" style="1" customWidth="1"/>
    <col min="13" max="13" width="12.42578125" style="1" customWidth="1"/>
    <col min="14" max="14" width="13.28515625" style="1" customWidth="1"/>
    <col min="15" max="15" width="11.7109375" style="1" customWidth="1"/>
    <col min="16" max="16" width="12.85546875" style="1" customWidth="1"/>
    <col min="17" max="17" width="13.42578125" style="1" customWidth="1"/>
    <col min="18" max="19" width="15.140625" style="1" customWidth="1"/>
    <col min="20" max="20" width="11.85546875" style="1" customWidth="1"/>
    <col min="21" max="16384" width="9.140625" style="1"/>
  </cols>
  <sheetData>
    <row r="2" spans="1:20" ht="18.75" x14ac:dyDescent="0.3">
      <c r="B2" s="5" t="s">
        <v>356</v>
      </c>
      <c r="C2" s="5"/>
    </row>
    <row r="3" spans="1:20" ht="15.75" thickBot="1" x14ac:dyDescent="0.3"/>
    <row r="4" spans="1:20" ht="20.25" customHeight="1" thickBot="1" x14ac:dyDescent="0.3">
      <c r="A4" s="161" t="s">
        <v>0</v>
      </c>
      <c r="B4" s="161" t="s">
        <v>1</v>
      </c>
      <c r="C4" s="161" t="s">
        <v>341</v>
      </c>
      <c r="D4" s="164" t="s">
        <v>187</v>
      </c>
      <c r="E4" s="161" t="s">
        <v>41</v>
      </c>
      <c r="F4" s="171" t="s">
        <v>171</v>
      </c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0" t="s">
        <v>170</v>
      </c>
      <c r="S4" s="158"/>
      <c r="T4" s="159"/>
    </row>
    <row r="5" spans="1:20" ht="15.75" hidden="1" customHeight="1" thickBot="1" x14ac:dyDescent="0.3">
      <c r="A5" s="162"/>
      <c r="B5" s="162"/>
      <c r="C5" s="162"/>
      <c r="D5" s="165"/>
      <c r="E5" s="162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30"/>
      <c r="S5" s="20"/>
      <c r="T5" s="31"/>
    </row>
    <row r="6" spans="1:20" ht="44.25" customHeight="1" x14ac:dyDescent="0.25">
      <c r="A6" s="162"/>
      <c r="B6" s="162"/>
      <c r="C6" s="162"/>
      <c r="D6" s="165"/>
      <c r="E6" s="162"/>
      <c r="F6" s="53" t="s">
        <v>80</v>
      </c>
      <c r="G6" s="54" t="s">
        <v>83</v>
      </c>
      <c r="H6" s="48" t="s">
        <v>145</v>
      </c>
      <c r="I6" s="55" t="s">
        <v>146</v>
      </c>
      <c r="J6" s="55" t="s">
        <v>147</v>
      </c>
      <c r="K6" s="55" t="s">
        <v>174</v>
      </c>
      <c r="L6" s="55" t="s">
        <v>148</v>
      </c>
      <c r="M6" s="55" t="s">
        <v>149</v>
      </c>
      <c r="N6" s="55" t="s">
        <v>162</v>
      </c>
      <c r="O6" s="56" t="s">
        <v>168</v>
      </c>
      <c r="P6" s="56" t="s">
        <v>167</v>
      </c>
      <c r="Q6" s="57" t="s">
        <v>169</v>
      </c>
      <c r="R6" s="59" t="s">
        <v>180</v>
      </c>
      <c r="S6" s="55" t="s">
        <v>172</v>
      </c>
      <c r="T6" s="60" t="s">
        <v>173</v>
      </c>
    </row>
    <row r="7" spans="1:20" ht="16.5" customHeight="1" x14ac:dyDescent="0.25">
      <c r="A7" s="3"/>
      <c r="B7" s="58" t="s">
        <v>96</v>
      </c>
      <c r="C7" s="3"/>
      <c r="D7" s="8"/>
      <c r="E7" s="2"/>
      <c r="F7" s="17"/>
      <c r="G7" s="17"/>
      <c r="H7" s="17"/>
      <c r="I7" s="17"/>
      <c r="J7" s="17"/>
      <c r="K7" s="17"/>
      <c r="L7" s="17"/>
      <c r="M7" s="17"/>
      <c r="N7" s="17"/>
      <c r="O7" s="2"/>
      <c r="P7" s="2"/>
      <c r="Q7" s="2"/>
      <c r="R7" s="2"/>
      <c r="S7" s="2"/>
      <c r="T7" s="2"/>
    </row>
    <row r="8" spans="1:20" ht="16.5" customHeight="1" x14ac:dyDescent="0.25">
      <c r="A8" s="3">
        <v>1</v>
      </c>
      <c r="B8" s="2" t="s">
        <v>97</v>
      </c>
      <c r="C8" s="3" t="s">
        <v>49</v>
      </c>
      <c r="D8" s="12">
        <f>1130000*11%+1130000</f>
        <v>1254300</v>
      </c>
      <c r="E8" s="2"/>
      <c r="F8" s="17">
        <v>1254300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>
        <v>1254300</v>
      </c>
      <c r="R8" s="52">
        <f>SUM(F8:Q8)/12</f>
        <v>209050</v>
      </c>
      <c r="S8" s="2"/>
      <c r="T8" s="52">
        <f>R8+S8</f>
        <v>209050</v>
      </c>
    </row>
    <row r="9" spans="1:20" ht="18" customHeight="1" x14ac:dyDescent="0.25">
      <c r="A9" s="3">
        <v>2</v>
      </c>
      <c r="B9" s="2" t="s">
        <v>98</v>
      </c>
      <c r="C9" s="3" t="s">
        <v>49</v>
      </c>
      <c r="D9" s="13">
        <f>1500000*11%+1500000</f>
        <v>1665000</v>
      </c>
      <c r="E9" s="2"/>
      <c r="F9" s="17">
        <v>1665000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>
        <v>1665000</v>
      </c>
      <c r="R9" s="52">
        <f>SUM(F9:Q9)/12</f>
        <v>277500</v>
      </c>
      <c r="S9" s="2"/>
      <c r="T9" s="52">
        <f t="shared" ref="T9:T11" si="0">R9+S9</f>
        <v>277500</v>
      </c>
    </row>
    <row r="10" spans="1:20" ht="18" customHeight="1" x14ac:dyDescent="0.25">
      <c r="A10" s="3">
        <v>3</v>
      </c>
      <c r="B10" s="2" t="s">
        <v>99</v>
      </c>
      <c r="C10" s="3" t="s">
        <v>49</v>
      </c>
      <c r="D10" s="13">
        <f>1650000*11%+1650000</f>
        <v>1831500</v>
      </c>
      <c r="E10" s="2"/>
      <c r="F10" s="17">
        <v>1831500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>
        <v>1831500</v>
      </c>
      <c r="R10" s="52">
        <f>SUM(F10:Q10)/12</f>
        <v>305250</v>
      </c>
      <c r="S10" s="2"/>
      <c r="T10" s="52">
        <f t="shared" si="0"/>
        <v>305250</v>
      </c>
    </row>
    <row r="11" spans="1:20" ht="16.5" customHeight="1" x14ac:dyDescent="0.25">
      <c r="A11" s="3">
        <v>4</v>
      </c>
      <c r="B11" s="2" t="s">
        <v>342</v>
      </c>
      <c r="C11" s="3"/>
      <c r="D11" s="8"/>
      <c r="E11" s="2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>
        <v>1942500</v>
      </c>
      <c r="R11" s="52">
        <f>SUM(F11:Q11)/18</f>
        <v>107916.66666666667</v>
      </c>
      <c r="S11" s="2"/>
      <c r="T11" s="52">
        <f t="shared" si="0"/>
        <v>107916.66666666667</v>
      </c>
    </row>
    <row r="12" spans="1:20" ht="17.25" customHeight="1" x14ac:dyDescent="0.25">
      <c r="A12" s="3"/>
      <c r="B12" s="2"/>
      <c r="C12" s="3"/>
      <c r="D12" s="9"/>
      <c r="E12" s="2"/>
      <c r="F12" s="17"/>
      <c r="G12" s="17"/>
      <c r="H12" s="17"/>
      <c r="I12" s="17"/>
      <c r="J12" s="17"/>
      <c r="K12" s="17"/>
      <c r="L12" s="17"/>
      <c r="M12" s="17"/>
      <c r="N12" s="17"/>
      <c r="O12" s="2"/>
      <c r="P12" s="2"/>
      <c r="Q12" s="2"/>
      <c r="R12" s="2"/>
      <c r="S12" s="2"/>
      <c r="T12" s="2"/>
    </row>
    <row r="16" spans="1:20" ht="15.75" x14ac:dyDescent="0.25">
      <c r="C16" s="71" t="s">
        <v>387</v>
      </c>
      <c r="D16" s="71"/>
      <c r="E16" s="71"/>
      <c r="F16" s="71"/>
      <c r="G16" s="71" t="s">
        <v>389</v>
      </c>
      <c r="H16" s="71"/>
      <c r="I16" s="71"/>
      <c r="J16" s="71"/>
      <c r="K16" s="71" t="s">
        <v>388</v>
      </c>
    </row>
    <row r="17" spans="3:11" ht="15.75" x14ac:dyDescent="0.25">
      <c r="C17" s="71"/>
      <c r="D17" s="71"/>
      <c r="E17" s="71"/>
      <c r="F17" s="71"/>
      <c r="G17" s="71"/>
      <c r="H17" s="71"/>
      <c r="I17" s="71"/>
      <c r="J17" s="71"/>
      <c r="K17" s="71"/>
    </row>
    <row r="18" spans="3:11" ht="15.75" x14ac:dyDescent="0.25">
      <c r="C18" s="71"/>
      <c r="D18" s="71"/>
      <c r="E18" s="71"/>
      <c r="F18" s="71"/>
      <c r="G18" s="71"/>
      <c r="H18" s="71"/>
      <c r="I18" s="71"/>
      <c r="J18" s="71"/>
      <c r="K18" s="71"/>
    </row>
    <row r="19" spans="3:11" ht="15.75" x14ac:dyDescent="0.25">
      <c r="C19" s="71"/>
      <c r="D19" s="71"/>
      <c r="E19" s="71"/>
      <c r="F19" s="71"/>
      <c r="G19" s="71"/>
      <c r="H19" s="71"/>
      <c r="I19" s="71"/>
      <c r="J19" s="71"/>
      <c r="K19" s="71"/>
    </row>
    <row r="20" spans="3:11" ht="15.75" x14ac:dyDescent="0.25">
      <c r="C20" s="71" t="s">
        <v>390</v>
      </c>
      <c r="D20" s="71"/>
      <c r="E20" s="71"/>
      <c r="F20" s="71"/>
      <c r="G20" s="71" t="s">
        <v>391</v>
      </c>
      <c r="H20" s="71"/>
      <c r="I20" s="71"/>
      <c r="J20" s="71"/>
      <c r="K20" s="71" t="s">
        <v>392</v>
      </c>
    </row>
  </sheetData>
  <mergeCells count="7">
    <mergeCell ref="E4:E6"/>
    <mergeCell ref="F4:Q4"/>
    <mergeCell ref="R4:T4"/>
    <mergeCell ref="A4:A6"/>
    <mergeCell ref="B4:B6"/>
    <mergeCell ref="C4:C6"/>
    <mergeCell ref="D4:D6"/>
  </mergeCells>
  <pageMargins left="0.33" right="0.45" top="0.55000000000000004" bottom="0.75" header="0.3" footer="0.3"/>
  <pageSetup paperSize="9" scale="52" fitToHeight="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topLeftCell="A4" zoomScaleNormal="100" workbookViewId="0">
      <selection activeCell="B17" sqref="B17"/>
    </sheetView>
  </sheetViews>
  <sheetFormatPr defaultRowHeight="15" x14ac:dyDescent="0.25"/>
  <cols>
    <col min="1" max="1" width="9.140625" style="1"/>
    <col min="2" max="2" width="37.85546875" style="1" customWidth="1"/>
    <col min="3" max="3" width="18" style="1" customWidth="1"/>
    <col min="4" max="4" width="14.28515625" style="1" customWidth="1"/>
    <col min="5" max="5" width="10.5703125" style="1" customWidth="1"/>
    <col min="6" max="6" width="14.42578125" style="1" customWidth="1"/>
    <col min="7" max="16384" width="9.140625" style="1"/>
  </cols>
  <sheetData>
    <row r="2" spans="1:4" ht="18.75" x14ac:dyDescent="0.3">
      <c r="B2" s="5" t="s">
        <v>137</v>
      </c>
      <c r="C2" s="5"/>
    </row>
    <row r="3" spans="1:4" ht="15.75" thickBot="1" x14ac:dyDescent="0.3"/>
    <row r="4" spans="1:4" ht="20.25" customHeight="1" x14ac:dyDescent="0.25">
      <c r="A4" s="161" t="s">
        <v>0</v>
      </c>
      <c r="B4" s="169" t="s">
        <v>1</v>
      </c>
      <c r="C4" s="173" t="s">
        <v>41</v>
      </c>
      <c r="D4" s="161" t="s">
        <v>2</v>
      </c>
    </row>
    <row r="5" spans="1:4" ht="15.75" hidden="1" customHeight="1" thickBot="1" x14ac:dyDescent="0.3">
      <c r="A5" s="162"/>
      <c r="B5" s="170"/>
      <c r="C5" s="173"/>
      <c r="D5" s="162"/>
    </row>
    <row r="6" spans="1:4" ht="15.75" thickBot="1" x14ac:dyDescent="0.3">
      <c r="A6" s="163"/>
      <c r="B6" s="172"/>
      <c r="C6" s="173"/>
      <c r="D6" s="162"/>
    </row>
    <row r="7" spans="1:4" ht="20.25" customHeight="1" x14ac:dyDescent="0.25">
      <c r="A7" s="4">
        <v>1</v>
      </c>
      <c r="B7" s="6" t="s">
        <v>81</v>
      </c>
      <c r="C7" s="3" t="s">
        <v>82</v>
      </c>
      <c r="D7" s="12">
        <v>1400000</v>
      </c>
    </row>
    <row r="8" spans="1:4" ht="18.75" customHeight="1" x14ac:dyDescent="0.25">
      <c r="A8" s="3">
        <v>2</v>
      </c>
      <c r="B8" s="7" t="s">
        <v>120</v>
      </c>
      <c r="C8" s="3" t="s">
        <v>82</v>
      </c>
      <c r="D8" s="12">
        <v>1008000</v>
      </c>
    </row>
    <row r="9" spans="1:4" ht="16.5" customHeight="1" x14ac:dyDescent="0.25">
      <c r="A9" s="3">
        <v>3</v>
      </c>
      <c r="B9" s="7" t="s">
        <v>118</v>
      </c>
      <c r="C9" s="3" t="s">
        <v>82</v>
      </c>
      <c r="D9" s="12">
        <v>2100000</v>
      </c>
    </row>
    <row r="10" spans="1:4" ht="16.5" customHeight="1" x14ac:dyDescent="0.25">
      <c r="A10" s="3">
        <v>4</v>
      </c>
      <c r="B10" s="7" t="s">
        <v>119</v>
      </c>
      <c r="C10" s="3" t="s">
        <v>82</v>
      </c>
      <c r="D10" s="12">
        <v>1500000</v>
      </c>
    </row>
    <row r="11" spans="1:4" ht="16.5" customHeight="1" x14ac:dyDescent="0.25">
      <c r="A11" s="3">
        <v>5</v>
      </c>
      <c r="B11" s="7"/>
      <c r="C11" s="3"/>
      <c r="D11" s="2"/>
    </row>
    <row r="12" spans="1:4" ht="16.5" customHeight="1" x14ac:dyDescent="0.25">
      <c r="A12" s="3">
        <v>6</v>
      </c>
      <c r="B12" s="7"/>
      <c r="C12" s="3"/>
      <c r="D12" s="2"/>
    </row>
    <row r="14" spans="1:4" x14ac:dyDescent="0.25">
      <c r="B14" s="1" t="s">
        <v>95</v>
      </c>
    </row>
    <row r="15" spans="1:4" x14ac:dyDescent="0.25">
      <c r="A15" s="15" t="s">
        <v>121</v>
      </c>
      <c r="B15" s="1" t="s">
        <v>123</v>
      </c>
    </row>
    <row r="16" spans="1:4" x14ac:dyDescent="0.25">
      <c r="A16" s="15" t="s">
        <v>121</v>
      </c>
      <c r="B16" s="1" t="s">
        <v>122</v>
      </c>
    </row>
  </sheetData>
  <mergeCells count="4">
    <mergeCell ref="A4:A6"/>
    <mergeCell ref="B4:B6"/>
    <mergeCell ref="C4:C6"/>
    <mergeCell ref="D4:D6"/>
  </mergeCells>
  <pageMargins left="0.7" right="0.7" top="0.55000000000000004" bottom="0.75" header="0.3" footer="0.3"/>
  <pageSetup scale="7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zoomScaleNormal="100" workbookViewId="0">
      <selection activeCell="B49" sqref="B49"/>
    </sheetView>
  </sheetViews>
  <sheetFormatPr defaultRowHeight="15" x14ac:dyDescent="0.25"/>
  <cols>
    <col min="1" max="1" width="9.140625" style="1"/>
    <col min="2" max="2" width="41.5703125" style="1" customWidth="1"/>
    <col min="3" max="4" width="18" style="1" customWidth="1"/>
    <col min="5" max="5" width="17.85546875" style="1" customWidth="1"/>
    <col min="6" max="6" width="19" style="1" customWidth="1"/>
    <col min="7" max="7" width="18.42578125" style="1" customWidth="1"/>
    <col min="8" max="16384" width="9.140625" style="1"/>
  </cols>
  <sheetData>
    <row r="2" spans="1:8" ht="18.75" x14ac:dyDescent="0.3">
      <c r="B2" s="5" t="s">
        <v>358</v>
      </c>
      <c r="C2" s="5"/>
      <c r="D2" s="5"/>
    </row>
    <row r="3" spans="1:8" ht="15.75" thickBot="1" x14ac:dyDescent="0.3"/>
    <row r="4" spans="1:8" ht="27.75" customHeight="1" x14ac:dyDescent="0.25">
      <c r="A4" s="161" t="s">
        <v>0</v>
      </c>
      <c r="B4" s="161" t="s">
        <v>1</v>
      </c>
      <c r="C4" s="161" t="s">
        <v>41</v>
      </c>
      <c r="D4" s="174" t="s">
        <v>341</v>
      </c>
      <c r="E4" s="175"/>
      <c r="F4" s="175"/>
      <c r="G4" s="176"/>
    </row>
    <row r="5" spans="1:8" ht="21" customHeight="1" x14ac:dyDescent="0.25">
      <c r="A5" s="162"/>
      <c r="B5" s="162"/>
      <c r="C5" s="162"/>
      <c r="D5" s="68" t="s">
        <v>359</v>
      </c>
      <c r="E5" s="55" t="s">
        <v>360</v>
      </c>
      <c r="F5" s="65" t="s">
        <v>376</v>
      </c>
      <c r="G5" s="65" t="s">
        <v>361</v>
      </c>
    </row>
    <row r="6" spans="1:8" ht="21" customHeight="1" x14ac:dyDescent="0.25">
      <c r="A6" s="65"/>
      <c r="B6" s="70" t="s">
        <v>377</v>
      </c>
      <c r="C6" s="65"/>
      <c r="D6" s="65"/>
      <c r="E6" s="65"/>
      <c r="F6" s="65"/>
      <c r="G6" s="65"/>
    </row>
    <row r="7" spans="1:8" ht="20.25" customHeight="1" x14ac:dyDescent="0.25">
      <c r="A7" s="4">
        <v>1</v>
      </c>
      <c r="B7" s="6" t="s">
        <v>362</v>
      </c>
      <c r="C7" s="4" t="s">
        <v>261</v>
      </c>
      <c r="D7" s="66">
        <v>50000</v>
      </c>
      <c r="E7" s="69"/>
      <c r="F7" s="2"/>
      <c r="G7" s="2"/>
      <c r="H7" s="1">
        <v>12</v>
      </c>
    </row>
    <row r="8" spans="1:8" ht="20.25" customHeight="1" x14ac:dyDescent="0.25">
      <c r="A8" s="4">
        <v>2</v>
      </c>
      <c r="B8" s="6" t="s">
        <v>363</v>
      </c>
      <c r="C8" s="4" t="s">
        <v>261</v>
      </c>
      <c r="D8" s="66">
        <v>55000</v>
      </c>
      <c r="E8" s="2"/>
      <c r="F8" s="2"/>
      <c r="G8" s="2"/>
    </row>
    <row r="9" spans="1:8" ht="20.25" customHeight="1" x14ac:dyDescent="0.25">
      <c r="A9" s="4">
        <v>3</v>
      </c>
      <c r="B9" s="6" t="s">
        <v>395</v>
      </c>
      <c r="C9" s="4" t="s">
        <v>261</v>
      </c>
      <c r="D9" s="66"/>
      <c r="E9" s="17">
        <v>22000</v>
      </c>
      <c r="F9" s="2"/>
      <c r="G9" s="2"/>
    </row>
    <row r="10" spans="1:8" ht="20.25" customHeight="1" x14ac:dyDescent="0.25">
      <c r="A10" s="4">
        <v>4</v>
      </c>
      <c r="B10" s="6" t="s">
        <v>396</v>
      </c>
      <c r="C10" s="4" t="s">
        <v>261</v>
      </c>
      <c r="D10" s="66"/>
      <c r="E10" s="17">
        <v>28000</v>
      </c>
      <c r="F10" s="2"/>
      <c r="G10" s="2"/>
      <c r="H10" s="1">
        <v>12</v>
      </c>
    </row>
    <row r="11" spans="1:8" ht="18.75" customHeight="1" x14ac:dyDescent="0.25">
      <c r="A11" s="4">
        <v>5</v>
      </c>
      <c r="B11" s="6" t="s">
        <v>364</v>
      </c>
      <c r="C11" s="4" t="s">
        <v>261</v>
      </c>
      <c r="D11" s="28">
        <v>53000</v>
      </c>
      <c r="E11" s="17">
        <v>85000</v>
      </c>
      <c r="F11" s="17">
        <v>96000</v>
      </c>
      <c r="G11" s="2"/>
    </row>
    <row r="12" spans="1:8" ht="18.75" customHeight="1" x14ac:dyDescent="0.25">
      <c r="A12" s="4">
        <v>6</v>
      </c>
      <c r="B12" s="6" t="s">
        <v>365</v>
      </c>
      <c r="C12" s="4" t="s">
        <v>261</v>
      </c>
      <c r="D12" s="28">
        <v>59000</v>
      </c>
      <c r="E12" s="17"/>
      <c r="F12" s="2"/>
      <c r="G12" s="2"/>
    </row>
    <row r="13" spans="1:8" ht="20.25" customHeight="1" x14ac:dyDescent="0.25">
      <c r="A13" s="4">
        <v>7</v>
      </c>
      <c r="B13" s="6" t="s">
        <v>366</v>
      </c>
      <c r="C13" s="4" t="s">
        <v>261</v>
      </c>
      <c r="D13" s="28">
        <v>57000</v>
      </c>
      <c r="E13" s="17">
        <v>46000</v>
      </c>
      <c r="F13" s="2"/>
      <c r="G13" s="2"/>
      <c r="H13" s="1">
        <v>12</v>
      </c>
    </row>
    <row r="14" spans="1:8" ht="16.5" customHeight="1" x14ac:dyDescent="0.25">
      <c r="A14" s="4">
        <v>8</v>
      </c>
      <c r="B14" s="6" t="s">
        <v>367</v>
      </c>
      <c r="C14" s="4" t="s">
        <v>261</v>
      </c>
      <c r="D14" s="67">
        <v>64500</v>
      </c>
      <c r="E14" s="17"/>
      <c r="F14" s="2"/>
      <c r="G14" s="2"/>
    </row>
    <row r="15" spans="1:8" ht="18" customHeight="1" x14ac:dyDescent="0.25">
      <c r="A15" s="3"/>
      <c r="B15" s="2"/>
      <c r="C15" s="3"/>
      <c r="D15" s="3"/>
      <c r="E15" s="2"/>
      <c r="F15" s="2"/>
      <c r="G15" s="2"/>
    </row>
    <row r="16" spans="1:8" ht="19.5" customHeight="1" x14ac:dyDescent="0.25">
      <c r="A16" s="3"/>
      <c r="B16" s="58" t="s">
        <v>378</v>
      </c>
      <c r="C16" s="3"/>
      <c r="D16" s="3"/>
      <c r="E16" s="2"/>
      <c r="F16" s="2"/>
      <c r="G16" s="2"/>
    </row>
    <row r="17" spans="1:7" ht="26.25" customHeight="1" x14ac:dyDescent="0.25">
      <c r="A17" s="3">
        <v>1</v>
      </c>
      <c r="B17" s="2" t="s">
        <v>368</v>
      </c>
      <c r="C17" s="4" t="s">
        <v>261</v>
      </c>
      <c r="D17" s="17">
        <v>69000</v>
      </c>
      <c r="E17" s="2"/>
      <c r="F17" s="2"/>
      <c r="G17" s="2"/>
    </row>
    <row r="18" spans="1:7" ht="19.5" customHeight="1" x14ac:dyDescent="0.25">
      <c r="A18" s="3">
        <v>2</v>
      </c>
      <c r="B18" s="2" t="s">
        <v>369</v>
      </c>
      <c r="C18" s="4" t="s">
        <v>261</v>
      </c>
      <c r="D18" s="17">
        <v>62000</v>
      </c>
      <c r="E18" s="2"/>
      <c r="F18" s="2"/>
      <c r="G18" s="2"/>
    </row>
    <row r="19" spans="1:7" ht="20.25" customHeight="1" x14ac:dyDescent="0.25">
      <c r="A19" s="3">
        <v>3</v>
      </c>
      <c r="B19" s="2" t="s">
        <v>370</v>
      </c>
      <c r="C19" s="4" t="s">
        <v>261</v>
      </c>
      <c r="D19" s="17">
        <v>78000</v>
      </c>
      <c r="E19" s="2"/>
      <c r="F19" s="2"/>
      <c r="G19" s="2"/>
    </row>
    <row r="20" spans="1:7" ht="21" customHeight="1" x14ac:dyDescent="0.25">
      <c r="A20" s="3">
        <v>4</v>
      </c>
      <c r="B20" s="2" t="s">
        <v>371</v>
      </c>
      <c r="C20" s="4" t="s">
        <v>261</v>
      </c>
      <c r="D20" s="17">
        <v>70000</v>
      </c>
      <c r="E20" s="17">
        <v>85000</v>
      </c>
      <c r="F20" s="17">
        <v>130500</v>
      </c>
      <c r="G20" s="2"/>
    </row>
    <row r="21" spans="1:7" ht="21" customHeight="1" x14ac:dyDescent="0.25">
      <c r="A21" s="3">
        <v>5</v>
      </c>
      <c r="B21" s="2" t="s">
        <v>374</v>
      </c>
      <c r="C21" s="4" t="s">
        <v>261</v>
      </c>
      <c r="D21" s="17">
        <v>58000</v>
      </c>
      <c r="E21" s="2"/>
      <c r="F21" s="2"/>
      <c r="G21" s="2"/>
    </row>
    <row r="22" spans="1:7" ht="21" customHeight="1" x14ac:dyDescent="0.25">
      <c r="A22" s="3">
        <v>6</v>
      </c>
      <c r="B22" s="2" t="s">
        <v>375</v>
      </c>
      <c r="C22" s="4" t="s">
        <v>261</v>
      </c>
      <c r="D22" s="17">
        <v>66000</v>
      </c>
      <c r="E22" s="2"/>
      <c r="F22" s="2"/>
      <c r="G22" s="2"/>
    </row>
    <row r="23" spans="1:7" ht="21" customHeight="1" x14ac:dyDescent="0.25">
      <c r="A23" s="3">
        <v>7</v>
      </c>
      <c r="B23" s="2" t="s">
        <v>372</v>
      </c>
      <c r="C23" s="4" t="s">
        <v>261</v>
      </c>
      <c r="D23" s="17">
        <v>55000</v>
      </c>
      <c r="E23" s="2"/>
      <c r="F23" s="2"/>
      <c r="G23" s="2"/>
    </row>
    <row r="24" spans="1:7" ht="21" customHeight="1" x14ac:dyDescent="0.25">
      <c r="A24" s="3">
        <v>8</v>
      </c>
      <c r="B24" s="2" t="s">
        <v>373</v>
      </c>
      <c r="C24" s="4" t="s">
        <v>261</v>
      </c>
      <c r="D24" s="17">
        <v>61000</v>
      </c>
      <c r="E24" s="2"/>
      <c r="F24" s="2"/>
      <c r="G24" s="2"/>
    </row>
    <row r="25" spans="1:7" ht="21" customHeight="1" x14ac:dyDescent="0.25">
      <c r="A25" s="3"/>
      <c r="B25" s="2"/>
      <c r="C25" s="4"/>
      <c r="D25" s="17"/>
      <c r="E25" s="2"/>
      <c r="F25" s="2"/>
      <c r="G25" s="2"/>
    </row>
    <row r="26" spans="1:7" ht="21" customHeight="1" x14ac:dyDescent="0.25">
      <c r="A26" s="3"/>
      <c r="B26" s="58" t="s">
        <v>379</v>
      </c>
      <c r="C26" s="4"/>
      <c r="D26" s="17"/>
      <c r="E26" s="2"/>
      <c r="F26" s="2"/>
      <c r="G26" s="2"/>
    </row>
    <row r="27" spans="1:7" ht="21" customHeight="1" x14ac:dyDescent="0.25">
      <c r="A27" s="3">
        <v>1</v>
      </c>
      <c r="B27" s="2" t="s">
        <v>380</v>
      </c>
      <c r="C27" s="4" t="s">
        <v>261</v>
      </c>
      <c r="D27" s="17">
        <v>11500</v>
      </c>
      <c r="E27" s="17">
        <v>16000</v>
      </c>
      <c r="F27" s="2"/>
      <c r="G27" s="2"/>
    </row>
    <row r="28" spans="1:7" ht="21" customHeight="1" x14ac:dyDescent="0.25">
      <c r="A28" s="3">
        <v>2</v>
      </c>
      <c r="B28" s="2" t="s">
        <v>383</v>
      </c>
      <c r="C28" s="4" t="s">
        <v>261</v>
      </c>
      <c r="D28" s="17">
        <v>13000</v>
      </c>
      <c r="E28" s="17">
        <v>32000</v>
      </c>
      <c r="F28" s="2"/>
      <c r="G28" s="2"/>
    </row>
    <row r="29" spans="1:7" ht="21" customHeight="1" x14ac:dyDescent="0.25">
      <c r="A29" s="3">
        <v>3</v>
      </c>
      <c r="B29" s="2" t="s">
        <v>382</v>
      </c>
      <c r="C29" s="4" t="s">
        <v>261</v>
      </c>
      <c r="D29" s="17">
        <v>19500</v>
      </c>
      <c r="E29" s="17">
        <v>22000</v>
      </c>
      <c r="F29" s="2"/>
      <c r="G29" s="2"/>
    </row>
    <row r="30" spans="1:7" ht="21" customHeight="1" x14ac:dyDescent="0.25">
      <c r="A30" s="3">
        <v>4</v>
      </c>
      <c r="B30" s="2" t="s">
        <v>381</v>
      </c>
      <c r="C30" s="4" t="s">
        <v>261</v>
      </c>
      <c r="D30" s="17">
        <v>27000</v>
      </c>
      <c r="E30" s="17">
        <v>28000</v>
      </c>
      <c r="F30" s="2"/>
      <c r="G30" s="2"/>
    </row>
    <row r="31" spans="1:7" ht="21" customHeight="1" x14ac:dyDescent="0.25">
      <c r="A31" s="3">
        <v>5</v>
      </c>
      <c r="B31" s="2" t="s">
        <v>384</v>
      </c>
      <c r="C31" s="4" t="s">
        <v>261</v>
      </c>
      <c r="D31" s="17">
        <v>34500</v>
      </c>
      <c r="E31" s="17"/>
      <c r="F31" s="2"/>
      <c r="G31" s="2"/>
    </row>
    <row r="32" spans="1:7" ht="21" customHeight="1" x14ac:dyDescent="0.25">
      <c r="A32" s="3">
        <v>6</v>
      </c>
      <c r="B32" s="2" t="s">
        <v>385</v>
      </c>
      <c r="C32" s="4" t="s">
        <v>261</v>
      </c>
      <c r="D32" s="17">
        <v>43500</v>
      </c>
      <c r="E32" s="17">
        <v>46000</v>
      </c>
      <c r="F32" s="2"/>
      <c r="G32" s="2"/>
    </row>
    <row r="33" spans="1:7" ht="21" customHeight="1" x14ac:dyDescent="0.25">
      <c r="A33" s="3"/>
      <c r="B33" s="2"/>
      <c r="C33" s="4"/>
      <c r="D33" s="17"/>
      <c r="E33" s="2"/>
      <c r="F33" s="2"/>
      <c r="G33" s="2"/>
    </row>
    <row r="34" spans="1:7" ht="21" customHeight="1" x14ac:dyDescent="0.25">
      <c r="A34" s="3"/>
      <c r="B34" s="2"/>
      <c r="C34" s="4"/>
      <c r="D34" s="17"/>
      <c r="E34" s="2"/>
      <c r="F34" s="2"/>
      <c r="G34" s="2"/>
    </row>
    <row r="35" spans="1:7" ht="22.5" customHeight="1" x14ac:dyDescent="0.25">
      <c r="A35" s="3"/>
      <c r="B35" s="2"/>
      <c r="C35" s="2"/>
      <c r="D35" s="17"/>
      <c r="E35" s="2"/>
      <c r="F35" s="2"/>
      <c r="G35" s="2"/>
    </row>
  </sheetData>
  <mergeCells count="4">
    <mergeCell ref="A4:A5"/>
    <mergeCell ref="B4:B5"/>
    <mergeCell ref="C4:C5"/>
    <mergeCell ref="D4:G4"/>
  </mergeCells>
  <pageMargins left="0.7" right="0.7" top="0.55000000000000004" bottom="0.75" header="0.3" footer="0.3"/>
  <pageSetup scale="7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LEMBARAN </vt:lpstr>
      <vt:lpstr>PERABOT </vt:lpstr>
      <vt:lpstr>FINISHING</vt:lpstr>
      <vt:lpstr>LAMPU </vt:lpstr>
      <vt:lpstr>KURSI </vt:lpstr>
      <vt:lpstr>SOLID SURFACER </vt:lpstr>
      <vt:lpstr>TULISAN </vt:lpstr>
      <vt:lpstr>FINISHING!Print_Area</vt:lpstr>
      <vt:lpstr>'KURSI '!Print_Area</vt:lpstr>
      <vt:lpstr>'LAMPU '!Print_Area</vt:lpstr>
      <vt:lpstr>'LEMBARAN '!Print_Area</vt:lpstr>
      <vt:lpstr>'PERABOT '!Print_Area</vt:lpstr>
      <vt:lpstr>'SOLID SURFACER '!Print_Area</vt:lpstr>
      <vt:lpstr>'TULISAN 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user</cp:lastModifiedBy>
  <cp:lastPrinted>2025-12-30T03:43:38Z</cp:lastPrinted>
  <dcterms:created xsi:type="dcterms:W3CDTF">2021-04-07T04:29:32Z</dcterms:created>
  <dcterms:modified xsi:type="dcterms:W3CDTF">2026-03-13T03:08:33Z</dcterms:modified>
</cp:coreProperties>
</file>